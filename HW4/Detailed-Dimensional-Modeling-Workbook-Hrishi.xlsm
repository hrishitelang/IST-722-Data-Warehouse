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13" codeName="{A63ED3A1-9429-3D75-F2AA-CA7E51A8F3A1}"/>
  <workbookPr codeName="ThisWorkbook"/>
  <mc:AlternateContent xmlns:mc="http://schemas.openxmlformats.org/markup-compatibility/2006">
    <mc:Choice Requires="x15">
      <x15ac:absPath xmlns:x15ac="http://schemas.microsoft.com/office/spreadsheetml/2010/11/ac" url="/Users/hrishitelang/Desktop/"/>
    </mc:Choice>
  </mc:AlternateContent>
  <xr:revisionPtr revIDLastSave="0" documentId="13_ncr:1_{9B32EA51-89D8-544E-B975-6C05D088B377}" xr6:coauthVersionLast="47" xr6:coauthVersionMax="47" xr10:uidLastSave="{00000000-0000-0000-0000-000000000000}"/>
  <bookViews>
    <workbookView xWindow="0" yWindow="500" windowWidth="28800" windowHeight="15840" tabRatio="634" firstSheet="6" activeTab="6" xr2:uid="{00000000-000D-0000-FFFF-FFFF00000000}"/>
  </bookViews>
  <sheets>
    <sheet name="Home" sheetId="155" r:id="rId1"/>
    <sheet name="ReadMe" sheetId="106" r:id="rId2"/>
    <sheet name="Change Log" sheetId="104" r:id="rId3"/>
    <sheet name="Blank Dimension" sheetId="153" r:id="rId4"/>
    <sheet name="Blank Fact" sheetId="154" r:id="rId5"/>
    <sheet name="DimCustomer" sheetId="158" r:id="rId6"/>
    <sheet name="DimDate" sheetId="157" r:id="rId7"/>
    <sheet name="DimEmployee" sheetId="159" r:id="rId8"/>
    <sheet name="DimProduct" sheetId="160" r:id="rId9"/>
    <sheet name="FactSales" sheetId="161" r:id="rId10"/>
    <sheet name="FactOrderFulfillment" sheetId="163"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3" i="159" l="1"/>
  <c r="B22" i="159"/>
  <c r="B21" i="159"/>
  <c r="B20" i="159"/>
  <c r="B19" i="159"/>
  <c r="B18" i="159"/>
  <c r="B17" i="159"/>
  <c r="B14" i="161"/>
  <c r="B13" i="161"/>
  <c r="B14" i="160"/>
  <c r="A13" i="160"/>
  <c r="B16" i="159"/>
  <c r="B15" i="159"/>
  <c r="B14" i="159"/>
  <c r="B13" i="159"/>
  <c r="U21" i="158"/>
  <c r="U20" i="158"/>
  <c r="U19" i="158"/>
  <c r="U18" i="158"/>
  <c r="U17" i="158"/>
  <c r="U16" i="158"/>
  <c r="U15" i="158"/>
  <c r="B21" i="158"/>
  <c r="B20" i="158"/>
  <c r="B19" i="158"/>
  <c r="B18" i="158"/>
  <c r="B17" i="158"/>
  <c r="B16" i="158"/>
  <c r="B15" i="158"/>
  <c r="B14" i="158"/>
  <c r="B13" i="158"/>
  <c r="C4" i="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141A170-BB46-4732-93FB-3D0577A28650}">
      <text>
        <r>
          <rPr>
            <sz val="9"/>
            <color indexed="81"/>
            <rFont val="Tahoma"/>
            <family val="2"/>
          </rPr>
          <t>Physical table name (use brackets if necessary)</t>
        </r>
      </text>
    </comment>
    <comment ref="B3" authorId="0" shapeId="0" xr:uid="{42F67DA4-8427-487C-B218-669EC36DB126}">
      <text>
        <r>
          <rPr>
            <sz val="9"/>
            <color rgb="FF000000"/>
            <rFont val="Tahoma"/>
            <family val="2"/>
          </rPr>
          <t>Display or business name of the table (if this does not match the worksheet name, the links in the diagram do not work)</t>
        </r>
      </text>
    </comment>
    <comment ref="B4" authorId="0" shapeId="0" xr:uid="{2802A9B6-8C99-4E20-B975-2321E39D0C65}">
      <text>
        <r>
          <rPr>
            <sz val="9"/>
            <color rgb="FF000000"/>
            <rFont val="Tahoma"/>
            <family val="2"/>
          </rPr>
          <t>Schema name for this table (you must create the schema first - leave blank for default schema, e.g. dbo)</t>
        </r>
      </text>
    </comment>
    <comment ref="B5" authorId="0" shapeId="0" xr:uid="{847A1E3E-B87E-441D-AB67-EE056440892A}">
      <text>
        <r>
          <rPr>
            <sz val="9"/>
            <color rgb="FF000000"/>
            <rFont val="Tahoma"/>
            <family val="2"/>
          </rPr>
          <t>Description of this table, oriented to the business user.</t>
        </r>
      </text>
    </comment>
    <comment ref="B6" authorId="0" shapeId="0" xr:uid="{65D24716-DDCE-4372-A521-EAD67FC5B647}">
      <text>
        <r>
          <rPr>
            <sz val="9"/>
            <color rgb="FF000000"/>
            <rFont val="Tahoma"/>
            <family val="2"/>
          </rPr>
          <t xml:space="preserve">We often use the Comment field to insert a technical comment.
</t>
        </r>
      </text>
    </comment>
    <comment ref="B7" authorId="0" shapeId="0" xr:uid="{2AE95496-E62F-4DEF-ADC6-E5CDE35DF19B}">
      <text>
        <r>
          <rPr>
            <sz val="9"/>
            <color rgb="FF000000"/>
            <rFont val="Tahoma"/>
            <family val="2"/>
          </rPr>
          <t xml:space="preserve">If there's an important filter condition for the extract from the source, note it here. </t>
        </r>
      </text>
    </comment>
    <comment ref="B8" authorId="0" shapeId="0" xr:uid="{A4E51349-F497-4F3B-AB1A-591DC1D1AF34}">
      <text>
        <r>
          <rPr>
            <sz val="9"/>
            <color rgb="FF000000"/>
            <rFont val="Tahoma"/>
            <family val="2"/>
          </rPr>
          <t xml:space="preserve">It's often helpful to note the approximate size of the table -- helps people understand the contents. </t>
        </r>
      </text>
    </comment>
    <comment ref="B9" authorId="0" shapeId="0" xr:uid="{322F494C-92D5-49EA-8BDD-E3F6432FC870}">
      <text>
        <r>
          <rPr>
            <sz val="9"/>
            <color rgb="FF000000"/>
            <rFont val="Tahoma"/>
            <family val="2"/>
          </rPr>
          <t>This indicator drives whether the macro will generate the script for this table.</t>
        </r>
      </text>
    </comment>
    <comment ref="J11" authorId="0" shapeId="0" xr:uid="{F19F036B-9C0C-4CD1-B8B6-67813BA5783B}">
      <text>
        <r>
          <rPr>
            <sz val="9"/>
            <color indexed="81"/>
            <rFont val="Tahoma"/>
            <family val="2"/>
          </rPr>
          <t>These columns drive the generate SQL macro. We usually hide them during the modeling sessions, filling them in later.</t>
        </r>
      </text>
    </comment>
    <comment ref="Q11" authorId="0" shapeId="0" xr:uid="{A7C80839-2193-4E42-BEC8-8ADADFBB564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2D0B3F4-D918-4FFB-A23B-7C57B8AEDAF6}">
      <text>
        <r>
          <rPr>
            <sz val="9"/>
            <color rgb="FF000000"/>
            <rFont val="Tahoma"/>
            <family val="2"/>
          </rPr>
          <t>Column physical name in the table definition. We recommend that physical and logical names be the same.</t>
        </r>
      </text>
    </comment>
    <comment ref="B12" authorId="0" shapeId="0" xr:uid="{CD915BA7-2A9D-4F58-BF1C-64CC51175E55}">
      <text>
        <r>
          <rPr>
            <sz val="9"/>
            <color rgb="FF000000"/>
            <rFont val="Tahoma"/>
            <family val="2"/>
          </rPr>
          <t>Column logical or view name presented to the users. We recommend that physical and logical names be the same.</t>
        </r>
      </text>
    </comment>
    <comment ref="C12" authorId="0" shapeId="0" xr:uid="{166BD756-BDE9-4CFD-8E4A-CBFEBD48CC9F}">
      <text>
        <r>
          <rPr>
            <sz val="9"/>
            <color indexed="81"/>
            <rFont val="Tahoma"/>
            <family val="2"/>
          </rPr>
          <t xml:space="preserve">Description for the business users. Your dimensional design is not complete until this is filled in for absolutely all columns.
</t>
        </r>
      </text>
    </comment>
    <comment ref="D12" authorId="0" shapeId="0" xr:uid="{910CB4EB-065E-4D44-8DA8-1BA779EA13FC}">
      <text>
        <r>
          <rPr>
            <sz val="9"/>
            <color indexed="81"/>
            <rFont val="Tahoma"/>
            <family val="2"/>
          </rPr>
          <t xml:space="preserve">Used to populate the "Unknown member" row (surrogate key = -1) in the table.
</t>
        </r>
      </text>
    </comment>
    <comment ref="E12" authorId="0" shapeId="0" xr:uid="{78011009-496C-4800-835B-1E02974E8D35}">
      <text>
        <r>
          <rPr>
            <sz val="9"/>
            <color indexed="81"/>
            <rFont val="Tahoma"/>
            <family val="2"/>
          </rPr>
          <t>Example values can be as valuable as the description to convey the contents of the column.</t>
        </r>
      </text>
    </comment>
    <comment ref="F12" authorId="0" shapeId="0" xr:uid="{F6F1FC45-C698-4708-A05F-95482B6CD36B}">
      <text>
        <r>
          <rPr>
            <sz val="9"/>
            <color indexed="81"/>
            <rFont val="Tahoma"/>
            <family val="2"/>
          </rPr>
          <t>1=Restate History
2=Track History
documentation only</t>
        </r>
      </text>
    </comment>
    <comment ref="G12" authorId="0" shapeId="0" xr:uid="{E0CF9243-AB82-407B-AC97-043EE81B3B7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368F8AD-71B5-4999-BBE6-A3250499A231}">
      <text>
        <r>
          <rPr>
            <sz val="9"/>
            <color rgb="FF000000"/>
            <rFont val="Tahoma"/>
            <family val="2"/>
          </rPr>
          <t>During the modeling process, capture any important discussion about ETL rules or xforms.</t>
        </r>
      </text>
    </comment>
    <comment ref="I12" authorId="0" shapeId="0" xr:uid="{9E2A62CB-E804-4969-900D-BE439A264C42}">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rgb="FF000000"/>
            <rFont val="Tahoma"/>
            <family val="2"/>
          </rPr>
          <t xml:space="preserve">It's often helpful to note the approximate size of the table -- helps people understand the contents. </t>
        </r>
      </text>
    </comment>
    <comment ref="B9" authorId="0" shapeId="0" xr:uid="{00000000-0006-0000-0500-000008000000}">
      <text>
        <r>
          <rPr>
            <sz val="9"/>
            <color rgb="FF000000"/>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880240B-4435-407F-B96E-73AF62A44897}">
      <text>
        <r>
          <rPr>
            <sz val="9"/>
            <color rgb="FF000000"/>
            <rFont val="Tahoma"/>
            <family val="2"/>
          </rPr>
          <t>Physical table name (use brackets if necessary)</t>
        </r>
      </text>
    </comment>
    <comment ref="B3" authorId="0" shapeId="0" xr:uid="{B06BC6F5-2B02-4528-9CA9-224CFDDDCA66}">
      <text>
        <r>
          <rPr>
            <sz val="9"/>
            <color rgb="FF000000"/>
            <rFont val="Tahoma"/>
            <family val="2"/>
          </rPr>
          <t>Display or business name of the table (if this does not match the worksheet name, the links in the diagram do not work)</t>
        </r>
      </text>
    </comment>
    <comment ref="B4" authorId="0" shapeId="0" xr:uid="{4F7E13C8-72A9-42D9-8A0F-CBBFF9DF9CB0}">
      <text>
        <r>
          <rPr>
            <sz val="9"/>
            <color indexed="81"/>
            <rFont val="Tahoma"/>
            <family val="2"/>
          </rPr>
          <t>Schema name for this table (you must create the schema first - leave blank for default schema, e.g. dbo)</t>
        </r>
      </text>
    </comment>
    <comment ref="B5" authorId="0" shapeId="0" xr:uid="{6B72E935-AAA2-4ADD-95C7-4486EFF8B2EF}">
      <text>
        <r>
          <rPr>
            <sz val="9"/>
            <color indexed="81"/>
            <rFont val="Tahoma"/>
            <family val="2"/>
          </rPr>
          <t>Description of this table, oriented to the business user.</t>
        </r>
      </text>
    </comment>
    <comment ref="B6" authorId="0" shapeId="0" xr:uid="{1787132F-0EDB-4036-8D38-B1C929EAAD69}">
      <text>
        <r>
          <rPr>
            <sz val="9"/>
            <color indexed="81"/>
            <rFont val="Tahoma"/>
            <family val="2"/>
          </rPr>
          <t xml:space="preserve">We often use the Comment field to insert a technical comment.
</t>
        </r>
      </text>
    </comment>
    <comment ref="B7" authorId="0" shapeId="0" xr:uid="{AC665971-87AC-4745-BEA9-57452B02101F}">
      <text>
        <r>
          <rPr>
            <sz val="9"/>
            <color indexed="81"/>
            <rFont val="Tahoma"/>
            <family val="2"/>
          </rPr>
          <t xml:space="preserve">If there's an important filter condition for the extract from the source, note it here. </t>
        </r>
      </text>
    </comment>
    <comment ref="B8" authorId="0" shapeId="0" xr:uid="{4D120B57-C83D-44AC-8729-5F99DDD0BE6A}">
      <text>
        <r>
          <rPr>
            <sz val="9"/>
            <color rgb="FF000000"/>
            <rFont val="Tahoma"/>
            <family val="2"/>
          </rPr>
          <t xml:space="preserve">It's often helpful to note the approximate size of the table -- helps people understand the contents. </t>
        </r>
      </text>
    </comment>
    <comment ref="B9" authorId="0" shapeId="0" xr:uid="{2238662C-E3C3-4221-8342-DA7E0EA4B19B}">
      <text>
        <r>
          <rPr>
            <sz val="9"/>
            <color rgb="FF000000"/>
            <rFont val="Tahoma"/>
            <family val="2"/>
          </rPr>
          <t>This indicator drives whether the macro will generate the script for this table.</t>
        </r>
      </text>
    </comment>
    <comment ref="J11" authorId="0" shapeId="0" xr:uid="{59ACA2F5-1A5E-4021-83C2-45870F1B75A7}">
      <text>
        <r>
          <rPr>
            <sz val="9"/>
            <color indexed="81"/>
            <rFont val="Tahoma"/>
            <family val="2"/>
          </rPr>
          <t>These columns drive the generate SQL macro. We usually hide them during the modeling sessions, filling them in later.</t>
        </r>
      </text>
    </comment>
    <comment ref="Q11" authorId="0" shapeId="0" xr:uid="{E6359C32-8CC0-495E-AC03-1572CC9514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F2FAE40-B3A1-43BE-8E76-72721C6E3958}">
      <text>
        <r>
          <rPr>
            <sz val="9"/>
            <color rgb="FF000000"/>
            <rFont val="Tahoma"/>
            <family val="2"/>
          </rPr>
          <t>Column physical name in the table definition. We recommend that physical and logical names be the same.</t>
        </r>
      </text>
    </comment>
    <comment ref="B12" authorId="0" shapeId="0" xr:uid="{08AFF87D-826E-4E5F-A31C-6DBFF904DB0E}">
      <text>
        <r>
          <rPr>
            <sz val="9"/>
            <color indexed="81"/>
            <rFont val="Tahoma"/>
            <family val="2"/>
          </rPr>
          <t>Column logical or view name presented to the users. We recommend that physical and logical names be the same.</t>
        </r>
      </text>
    </comment>
    <comment ref="C12" authorId="0" shapeId="0" xr:uid="{54D15FB3-0C60-42E8-9A6C-18A584F99801}">
      <text>
        <r>
          <rPr>
            <sz val="9"/>
            <color rgb="FF000000"/>
            <rFont val="Tahoma"/>
            <family val="2"/>
          </rPr>
          <t xml:space="preserve">Description for the business users. Your dimensional design is not complete until this is filled in for absolutely all columns.
</t>
        </r>
      </text>
    </comment>
    <comment ref="D12" authorId="0" shapeId="0" xr:uid="{53F44F41-C50E-4436-97C0-C9D92DA131AD}">
      <text>
        <r>
          <rPr>
            <sz val="9"/>
            <color indexed="81"/>
            <rFont val="Tahoma"/>
            <family val="2"/>
          </rPr>
          <t xml:space="preserve">Used to populate the "Unknown member" row (surrogate key = -1) in the table.
</t>
        </r>
      </text>
    </comment>
    <comment ref="E12" authorId="0" shapeId="0" xr:uid="{1B82766A-74D1-4017-9861-6A5CFBE4D059}">
      <text>
        <r>
          <rPr>
            <sz val="9"/>
            <color indexed="81"/>
            <rFont val="Tahoma"/>
            <family val="2"/>
          </rPr>
          <t>Example values can be as valuable as the description to convey the contents of the column.</t>
        </r>
      </text>
    </comment>
    <comment ref="F12" authorId="0" shapeId="0" xr:uid="{3CCA4895-E0E0-4EC1-99B7-E97762636CB4}">
      <text>
        <r>
          <rPr>
            <sz val="9"/>
            <color indexed="81"/>
            <rFont val="Tahoma"/>
            <family val="2"/>
          </rPr>
          <t>1=Restate History
2=Track History
documentation only</t>
        </r>
      </text>
    </comment>
    <comment ref="G12" authorId="0" shapeId="0" xr:uid="{0BEA6626-F418-4FE4-AEFF-6BC4020D34E5}">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513608B-6564-4BC5-9F61-C7E7572F8744}">
      <text>
        <r>
          <rPr>
            <sz val="9"/>
            <color indexed="81"/>
            <rFont val="Tahoma"/>
            <family val="2"/>
          </rPr>
          <t>During the modeling process, capture any important discussion about ETL rules or xforms.</t>
        </r>
      </text>
    </comment>
    <comment ref="I12" authorId="0" shapeId="0" xr:uid="{209DD756-F999-4C1F-854A-CB21A5DB43B2}">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B5699E-C16D-4B42-BAFF-CE89D02A582F}">
      <text>
        <r>
          <rPr>
            <sz val="9"/>
            <color indexed="81"/>
            <rFont val="Tahoma"/>
            <family val="2"/>
          </rPr>
          <t>Physical table name (use brackets if necessary)</t>
        </r>
      </text>
    </comment>
    <comment ref="B3" authorId="0" shapeId="0" xr:uid="{F9470E84-172C-40EE-B604-029C99A70C71}">
      <text>
        <r>
          <rPr>
            <sz val="9"/>
            <color rgb="FF000000"/>
            <rFont val="Tahoma"/>
            <family val="2"/>
          </rPr>
          <t>Display or business name of the table (if this does not match the worksheet name, the links in the diagram do not work)</t>
        </r>
      </text>
    </comment>
    <comment ref="B4" authorId="0" shapeId="0" xr:uid="{626B60DE-82AE-4018-8F0A-37B72BDD43B7}">
      <text>
        <r>
          <rPr>
            <sz val="9"/>
            <color indexed="81"/>
            <rFont val="Tahoma"/>
            <family val="2"/>
          </rPr>
          <t>Schema name for this table (you must create the schema first - leave blank for default schema, e.g. dbo)</t>
        </r>
      </text>
    </comment>
    <comment ref="B5" authorId="0" shapeId="0" xr:uid="{516E475C-95DC-41EA-8980-1DCA6C846067}">
      <text>
        <r>
          <rPr>
            <sz val="9"/>
            <color indexed="81"/>
            <rFont val="Tahoma"/>
            <family val="2"/>
          </rPr>
          <t>Description of this table, oriented to the business user.</t>
        </r>
      </text>
    </comment>
    <comment ref="B6" authorId="0" shapeId="0" xr:uid="{DEEE7D97-232A-42C2-987F-FC85AF4FB972}">
      <text>
        <r>
          <rPr>
            <sz val="9"/>
            <color indexed="81"/>
            <rFont val="Tahoma"/>
            <family val="2"/>
          </rPr>
          <t xml:space="preserve">We often use the Comment field to insert a technical comment.
</t>
        </r>
      </text>
    </comment>
    <comment ref="B7" authorId="0" shapeId="0" xr:uid="{913BCDD1-9C43-4841-ADCD-713790E33731}">
      <text>
        <r>
          <rPr>
            <sz val="9"/>
            <color indexed="81"/>
            <rFont val="Tahoma"/>
            <family val="2"/>
          </rPr>
          <t xml:space="preserve">If there's an important filter condition for the extract from the source, note it here. </t>
        </r>
      </text>
    </comment>
    <comment ref="B8" authorId="0" shapeId="0" xr:uid="{3827068A-52FD-44AE-9667-0CB7D739A62C}">
      <text>
        <r>
          <rPr>
            <sz val="9"/>
            <color indexed="81"/>
            <rFont val="Tahoma"/>
            <family val="2"/>
          </rPr>
          <t xml:space="preserve">It's often helpful to note the approximate size of the table -- helps people understand the contents. </t>
        </r>
      </text>
    </comment>
    <comment ref="B9" authorId="0" shapeId="0" xr:uid="{391998B2-9783-4435-9672-8D9764A34B40}">
      <text>
        <r>
          <rPr>
            <sz val="9"/>
            <color indexed="81"/>
            <rFont val="Tahoma"/>
            <family val="2"/>
          </rPr>
          <t>This indicator drives whether the macro will generate the script for this table.</t>
        </r>
      </text>
    </comment>
    <comment ref="J11" authorId="0" shapeId="0" xr:uid="{9C4C1FED-98B7-4D2E-BFDD-DF4E6B45BB13}">
      <text>
        <r>
          <rPr>
            <sz val="9"/>
            <color indexed="81"/>
            <rFont val="Tahoma"/>
            <family val="2"/>
          </rPr>
          <t>These columns drive the generate SQL macro. We usually hide them during the modeling sessions, filling them in later.</t>
        </r>
      </text>
    </comment>
    <comment ref="Q11" authorId="0" shapeId="0" xr:uid="{68AF0420-6344-425F-9242-0E41FEBDA71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117B96-5B81-4D32-A1D9-B2C62E272C73}">
      <text>
        <r>
          <rPr>
            <sz val="9"/>
            <color indexed="81"/>
            <rFont val="Tahoma"/>
            <family val="2"/>
          </rPr>
          <t>Column physical name in the table definition. We recommend that physical and logical names be the same.</t>
        </r>
      </text>
    </comment>
    <comment ref="B12" authorId="0" shapeId="0" xr:uid="{6A46D28D-4EFA-4D6D-88B7-7BF0C13DA7FC}">
      <text>
        <r>
          <rPr>
            <sz val="9"/>
            <color indexed="81"/>
            <rFont val="Tahoma"/>
            <family val="2"/>
          </rPr>
          <t>Column logical or view name presented to the users. We recommend that physical and logical names be the same.</t>
        </r>
      </text>
    </comment>
    <comment ref="C12" authorId="0" shapeId="0" xr:uid="{0CCBAEB8-97E6-4322-9416-DC6087FD8A6B}">
      <text>
        <r>
          <rPr>
            <sz val="9"/>
            <color indexed="81"/>
            <rFont val="Tahoma"/>
            <family val="2"/>
          </rPr>
          <t xml:space="preserve">Description for the business users. Your dimensional design is not complete until this is filled in for absolutely all columns.
</t>
        </r>
      </text>
    </comment>
    <comment ref="D12" authorId="0" shapeId="0" xr:uid="{FEB8DEAB-A363-4DB7-8223-51E03B17B6E4}">
      <text>
        <r>
          <rPr>
            <sz val="9"/>
            <color rgb="FF000000"/>
            <rFont val="Tahoma"/>
            <family val="2"/>
          </rPr>
          <t xml:space="preserve">Used to populate the "Unknown member" row (surrogate key = -1) in the table.
</t>
        </r>
      </text>
    </comment>
    <comment ref="E12" authorId="0" shapeId="0" xr:uid="{BEA7E771-3184-43A4-8FF1-B6FDA3C4CA73}">
      <text>
        <r>
          <rPr>
            <sz val="9"/>
            <color indexed="81"/>
            <rFont val="Tahoma"/>
            <family val="2"/>
          </rPr>
          <t>Example values can be as valuable as the description to convey the contents of the column.</t>
        </r>
      </text>
    </comment>
    <comment ref="F12" authorId="0" shapeId="0" xr:uid="{C120A549-723B-4569-B362-7B0BC8D77E8A}">
      <text>
        <r>
          <rPr>
            <sz val="9"/>
            <color indexed="81"/>
            <rFont val="Tahoma"/>
            <family val="2"/>
          </rPr>
          <t>1=Restate History
2=Track History
documentation only</t>
        </r>
      </text>
    </comment>
    <comment ref="G12" authorId="0" shapeId="0" xr:uid="{06CA8C17-6425-4A9D-A72D-8EE2B3D9CA9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90EA4D-9CFF-4AE7-B948-E7BB5386553E}">
      <text>
        <r>
          <rPr>
            <sz val="9"/>
            <color indexed="81"/>
            <rFont val="Tahoma"/>
            <family val="2"/>
          </rPr>
          <t>During the modeling process, capture any important discussion about ETL rules or xforms.</t>
        </r>
      </text>
    </comment>
    <comment ref="I12" authorId="0" shapeId="0" xr:uid="{C90FDEC4-A6EE-4AE7-B6CC-391744B1D684}">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C76FA6C-8484-4618-8C54-8D966DDBB17B}">
      <text>
        <r>
          <rPr>
            <sz val="9"/>
            <color indexed="81"/>
            <rFont val="Tahoma"/>
            <family val="2"/>
          </rPr>
          <t>Physical table name (use brackets if necessary)</t>
        </r>
      </text>
    </comment>
    <comment ref="B3" authorId="0" shapeId="0" xr:uid="{902A3207-FD89-417F-9F0A-161C5C184FB8}">
      <text>
        <r>
          <rPr>
            <sz val="9"/>
            <color indexed="81"/>
            <rFont val="Tahoma"/>
            <family val="2"/>
          </rPr>
          <t>Display or business name of the table (if this does not match the worksheet name, the links in the diagram do not work)</t>
        </r>
      </text>
    </comment>
    <comment ref="B4" authorId="0" shapeId="0" xr:uid="{7306CEB6-9915-47F6-BB7E-7908E402E194}">
      <text>
        <r>
          <rPr>
            <sz val="9"/>
            <color indexed="81"/>
            <rFont val="Tahoma"/>
            <family val="2"/>
          </rPr>
          <t>Schema name for this table (you must create the schema first - leave blank for default schema, e.g. dbo)</t>
        </r>
      </text>
    </comment>
    <comment ref="B5" authorId="0" shapeId="0" xr:uid="{59B65CD0-E1AB-4BCA-BB42-E8730187FD22}">
      <text>
        <r>
          <rPr>
            <sz val="9"/>
            <color indexed="81"/>
            <rFont val="Tahoma"/>
            <family val="2"/>
          </rPr>
          <t>Description of this table, oriented to the business user.</t>
        </r>
      </text>
    </comment>
    <comment ref="B6" authorId="0" shapeId="0" xr:uid="{3A1768D7-4FC4-4236-B56E-59CB17793D12}">
      <text>
        <r>
          <rPr>
            <sz val="9"/>
            <color indexed="81"/>
            <rFont val="Tahoma"/>
            <family val="2"/>
          </rPr>
          <t xml:space="preserve">We often use the Comment field to insert a technical comment.
</t>
        </r>
      </text>
    </comment>
    <comment ref="B7" authorId="0" shapeId="0" xr:uid="{79D689BF-9542-400A-88EE-02B8CDD3F53A}">
      <text>
        <r>
          <rPr>
            <sz val="9"/>
            <color indexed="81"/>
            <rFont val="Tahoma"/>
            <family val="2"/>
          </rPr>
          <t xml:space="preserve">If there's an important filter condition for the extract from the source, note it here. </t>
        </r>
      </text>
    </comment>
    <comment ref="B8" authorId="0" shapeId="0" xr:uid="{F15FF7FE-863A-4419-8C23-AFC0641B4BCE}">
      <text>
        <r>
          <rPr>
            <sz val="9"/>
            <color indexed="81"/>
            <rFont val="Tahoma"/>
            <family val="2"/>
          </rPr>
          <t xml:space="preserve">It's often helpful to note the approximate size of the table -- helps people understand the contents. </t>
        </r>
      </text>
    </comment>
    <comment ref="B9" authorId="0" shapeId="0" xr:uid="{A9B9A1F7-779E-489C-AF0F-19DF88752EC2}">
      <text>
        <r>
          <rPr>
            <sz val="9"/>
            <color indexed="81"/>
            <rFont val="Tahoma"/>
            <family val="2"/>
          </rPr>
          <t>This indicator drives whether the macro will generate the script for this table.</t>
        </r>
      </text>
    </comment>
    <comment ref="J11" authorId="0" shapeId="0" xr:uid="{3C41176E-2232-4022-86FF-C08016680FA7}">
      <text>
        <r>
          <rPr>
            <sz val="9"/>
            <color indexed="81"/>
            <rFont val="Tahoma"/>
            <family val="2"/>
          </rPr>
          <t>These columns drive the generate SQL macro. We usually hide them during the modeling sessions, filling them in later.</t>
        </r>
      </text>
    </comment>
    <comment ref="Q11" authorId="0" shapeId="0" xr:uid="{FF4D64C9-32D3-4EFE-8852-7C6D65F141C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C3AAF49-3BAB-4118-AB24-FFE2E3038481}">
      <text>
        <r>
          <rPr>
            <sz val="9"/>
            <color indexed="81"/>
            <rFont val="Tahoma"/>
            <family val="2"/>
          </rPr>
          <t>Column physical name in the table definition. We recommend that physical and logical names be the same.</t>
        </r>
      </text>
    </comment>
    <comment ref="B12" authorId="0" shapeId="0" xr:uid="{6BDFEF5C-D092-45E8-B073-3D37A05B483C}">
      <text>
        <r>
          <rPr>
            <sz val="9"/>
            <color indexed="81"/>
            <rFont val="Tahoma"/>
            <family val="2"/>
          </rPr>
          <t>Column logical or view name presented to the users. We recommend that physical and logical names be the same.</t>
        </r>
      </text>
    </comment>
    <comment ref="C12" authorId="0" shapeId="0" xr:uid="{D00596D1-32C8-46A5-8982-4952D8D0C246}">
      <text>
        <r>
          <rPr>
            <sz val="9"/>
            <color indexed="81"/>
            <rFont val="Tahoma"/>
            <family val="2"/>
          </rPr>
          <t xml:space="preserve">Description for the business users. Your dimensional design is not complete until this is filled in for absolutely all columns.
</t>
        </r>
      </text>
    </comment>
    <comment ref="D12" authorId="0" shapeId="0" xr:uid="{1C57DB2A-CAC0-44BE-9E50-BADF0BD7058D}">
      <text>
        <r>
          <rPr>
            <sz val="9"/>
            <color indexed="81"/>
            <rFont val="Tahoma"/>
            <family val="2"/>
          </rPr>
          <t>Keep hidden - not used for fact tables</t>
        </r>
      </text>
    </comment>
    <comment ref="E12" authorId="0" shapeId="0" xr:uid="{10EB667A-EF15-461B-AA81-2974984A58C4}">
      <text>
        <r>
          <rPr>
            <sz val="9"/>
            <color rgb="FF000000"/>
            <rFont val="Tahoma"/>
            <family val="2"/>
          </rPr>
          <t>Example values can be as valuable as the description to convey the contents of the column.</t>
        </r>
      </text>
    </comment>
    <comment ref="F12" authorId="0" shapeId="0" xr:uid="{0E44A951-AC5C-4567-A95B-93B7012CE9A4}">
      <text>
        <r>
          <rPr>
            <sz val="9"/>
            <color indexed="81"/>
            <rFont val="Tahoma"/>
            <family val="2"/>
          </rPr>
          <t>Keep hidden - not used for fact tables</t>
        </r>
      </text>
    </comment>
    <comment ref="G12" authorId="0" shapeId="0" xr:uid="{E291DB76-6A16-45B2-8876-EB3CCB9C5C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31BB61F-4BEC-4F78-9855-034C2A3FE234}">
      <text>
        <r>
          <rPr>
            <sz val="9"/>
            <color indexed="81"/>
            <rFont val="Tahoma"/>
            <family val="2"/>
          </rPr>
          <t>During the modeling process, capture any important discussion about ETL rules or xforms.</t>
        </r>
      </text>
    </comment>
    <comment ref="I12" authorId="0" shapeId="0" xr:uid="{7AFEC9B5-3794-4971-9F82-D0759955F39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E5ABA06-C99C-DA4D-B5D2-797E7BCC1E93}">
      <text>
        <r>
          <rPr>
            <sz val="9"/>
            <color rgb="FF000000"/>
            <rFont val="Tahoma"/>
            <family val="2"/>
          </rPr>
          <t>Physical table name (use brackets if necessary)</t>
        </r>
      </text>
    </comment>
    <comment ref="B3" authorId="0" shapeId="0" xr:uid="{309DC775-C4AE-344D-BA56-755C31D2BF8F}">
      <text>
        <r>
          <rPr>
            <sz val="9"/>
            <color rgb="FF000000"/>
            <rFont val="Tahoma"/>
            <family val="2"/>
          </rPr>
          <t>Display or business name of the table (if this does not match the worksheet name, the links in the diagram do not work)</t>
        </r>
      </text>
    </comment>
    <comment ref="B4" authorId="0" shapeId="0" xr:uid="{A5042358-6F4A-4042-BB02-353283758FFD}">
      <text>
        <r>
          <rPr>
            <sz val="9"/>
            <color rgb="FF000000"/>
            <rFont val="Tahoma"/>
            <family val="2"/>
          </rPr>
          <t>Schema name for this table (you must create the schema first - leave blank for default schema, e.g. dbo)</t>
        </r>
      </text>
    </comment>
    <comment ref="B5" authorId="0" shapeId="0" xr:uid="{F50C15FC-E286-7649-8C36-4FC7C29B0990}">
      <text>
        <r>
          <rPr>
            <sz val="9"/>
            <color rgb="FF000000"/>
            <rFont val="Tahoma"/>
            <family val="2"/>
          </rPr>
          <t>Description of this table, oriented to the business user.</t>
        </r>
      </text>
    </comment>
    <comment ref="B6" authorId="0" shapeId="0" xr:uid="{72E478E1-7E1F-F946-A490-67D6A5D634EF}">
      <text>
        <r>
          <rPr>
            <sz val="9"/>
            <color rgb="FF000000"/>
            <rFont val="Tahoma"/>
            <family val="2"/>
          </rPr>
          <t xml:space="preserve">We often use the Comment field to insert a technical comment.
</t>
        </r>
      </text>
    </comment>
    <comment ref="B7" authorId="0" shapeId="0" xr:uid="{49ACB676-6B40-324E-BF58-CA73156E3D8C}">
      <text>
        <r>
          <rPr>
            <sz val="9"/>
            <color indexed="81"/>
            <rFont val="Tahoma"/>
            <family val="2"/>
          </rPr>
          <t xml:space="preserve">If there's an important filter condition for the extract from the source, note it here. </t>
        </r>
      </text>
    </comment>
    <comment ref="B8" authorId="0" shapeId="0" xr:uid="{9C5D2342-9F3C-4E4D-9BD3-D0EADFC9487D}">
      <text>
        <r>
          <rPr>
            <sz val="9"/>
            <color rgb="FF000000"/>
            <rFont val="Tahoma"/>
            <family val="2"/>
          </rPr>
          <t xml:space="preserve">It's often helpful to note the approximate size of the table -- helps people understand the contents. </t>
        </r>
      </text>
    </comment>
    <comment ref="B9" authorId="0" shapeId="0" xr:uid="{7132A04E-0E6E-1D47-BE60-B837F542F385}">
      <text>
        <r>
          <rPr>
            <sz val="9"/>
            <color indexed="81"/>
            <rFont val="Tahoma"/>
            <family val="2"/>
          </rPr>
          <t>This indicator drives whether the macro will generate the script for this table.</t>
        </r>
      </text>
    </comment>
    <comment ref="J11" authorId="0" shapeId="0" xr:uid="{A4658073-17A8-8645-8E30-E2EAA48A2C49}">
      <text>
        <r>
          <rPr>
            <sz val="9"/>
            <color indexed="81"/>
            <rFont val="Tahoma"/>
            <family val="2"/>
          </rPr>
          <t>These columns drive the generate SQL macro. We usually hide them during the modeling sessions, filling them in later.</t>
        </r>
      </text>
    </comment>
    <comment ref="Q11" authorId="0" shapeId="0" xr:uid="{C5E05976-9C47-5846-A0D8-6649ECE474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FC5A66B-45EB-9B4E-A449-42EDE9F5C2EF}">
      <text>
        <r>
          <rPr>
            <sz val="9"/>
            <color rgb="FF000000"/>
            <rFont val="Tahoma"/>
            <family val="2"/>
          </rPr>
          <t>Column physical name in the table definition. We recommend that physical and logical names be the same.</t>
        </r>
      </text>
    </comment>
    <comment ref="B12" authorId="0" shapeId="0" xr:uid="{C950F0AD-4639-214C-9120-E25C086F6BBF}">
      <text>
        <r>
          <rPr>
            <sz val="9"/>
            <color indexed="81"/>
            <rFont val="Tahoma"/>
            <family val="2"/>
          </rPr>
          <t>Column logical or view name presented to the users. We recommend that physical and logical names be the same.</t>
        </r>
      </text>
    </comment>
    <comment ref="C12" authorId="0" shapeId="0" xr:uid="{79E3E811-399E-564A-9AE6-5A68044D7D63}">
      <text>
        <r>
          <rPr>
            <sz val="9"/>
            <color indexed="81"/>
            <rFont val="Tahoma"/>
            <family val="2"/>
          </rPr>
          <t xml:space="preserve">Description for the business users. Your dimensional design is not complete until this is filled in for absolutely all columns.
</t>
        </r>
      </text>
    </comment>
    <comment ref="D12" authorId="0" shapeId="0" xr:uid="{1C48F2E9-2995-7F49-BB91-1C13CBE6CE25}">
      <text>
        <r>
          <rPr>
            <sz val="9"/>
            <color indexed="81"/>
            <rFont val="Tahoma"/>
            <family val="2"/>
          </rPr>
          <t>Keep hidden - not used for fact tables</t>
        </r>
      </text>
    </comment>
    <comment ref="E12" authorId="0" shapeId="0" xr:uid="{FEA89CFD-C752-7448-9F1D-B2AE9C4E2EEB}">
      <text>
        <r>
          <rPr>
            <sz val="9"/>
            <color indexed="81"/>
            <rFont val="Tahoma"/>
            <family val="2"/>
          </rPr>
          <t>Example values can be as valuable as the description to convey the contents of the column.</t>
        </r>
      </text>
    </comment>
    <comment ref="F12" authorId="0" shapeId="0" xr:uid="{521A545C-8881-AE41-9165-7D6183415887}">
      <text>
        <r>
          <rPr>
            <sz val="9"/>
            <color indexed="81"/>
            <rFont val="Tahoma"/>
            <family val="2"/>
          </rPr>
          <t>Keep hidden - not used for fact tables</t>
        </r>
      </text>
    </comment>
    <comment ref="G12" authorId="0" shapeId="0" xr:uid="{1A751FA9-28BE-5B44-B14E-D08A12DA987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EFBA85C-5D88-2B4D-88F7-F0BF5DB67A5B}">
      <text>
        <r>
          <rPr>
            <sz val="9"/>
            <color indexed="81"/>
            <rFont val="Tahoma"/>
            <family val="2"/>
          </rPr>
          <t>During the modeling process, capture any important discussion about ETL rules or xforms.</t>
        </r>
      </text>
    </comment>
    <comment ref="I12" authorId="0" shapeId="0" xr:uid="{68311C4F-AA2C-F545-A332-3CA8F4FADDDD}">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<sst xmlns="http://schemas.openxmlformats.org/spreadsheetml/2006/main" count="1211" uniqueCount="346">
  <si>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</si>
  <si>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</si>
  <si>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</si>
  <si>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</si>
  <si>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</si>
  <si>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</si>
  <si>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</si>
  <si>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</si>
  <si>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</si>
  <si>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</si>
  <si>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</si>
  <si>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</si>
  <si>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</si>
  <si>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</si>
  <si>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</si>
  <si>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</si>
  <si>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</si>
  <si>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</si>
  <si>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</si>
  <si>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</si>
  <si>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</si>
  <si>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</si>
  <si>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</si>
  <si>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</si>
  <si>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</si>
  <si>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</si>
  <si>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</si>
  <si>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</si>
  <si>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</si>
  <si>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</si>
  <si>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</si>
  <si>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</si>
  <si>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</si>
  <si>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</si>
  <si>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</si>
  <si>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</si>
  <si>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</si>
  <si>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</si>
  <si>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</si>
  <si>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</si>
  <si>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</si>
  <si>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</si>
  <si>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</si>
  <si>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</si>
  <si>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</si>
  <si>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</si>
  <si>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</si>
  <si>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</si>
  <si>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</si>
  <si>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</si>
  <si>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</si>
  <si>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</si>
  <si>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</si>
  <si>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</si>
  <si>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</si>
  <si>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</si>
  <si>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</si>
  <si>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</si>
  <si>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</si>
  <si>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</si>
  <si>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</si>
  <si>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</si>
  <si>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</si>
  <si>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</si>
  <si>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</si>
  <si>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</si>
  <si>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</si>
  <si>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</si>
  <si>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</si>
  <si>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</si>
  <si>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</si>
  <si>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</si>
  <si>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</si>
  <si>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</si>
  <si>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</si>
  <si>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</si>
  <si>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</si>
  <si>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</si>
  <si>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</si>
  <si>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</si>
  <si>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</si>
  <si>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</si>
  <si>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</si>
  <si>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</si>
  <si>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</si>
  <si>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</si>
  <si>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</si>
  <si>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</si>
  <si>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</si>
  <si>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</si>
  <si>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</si>
  <si>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</si>
  <si>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</si>
  <si>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</si>
  <si>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</si>
  <si>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</si>
  <si>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</si>
  <si>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</si>
  <si>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</si>
  <si>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</si>
  <si>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</si>
  <si>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</si>
  <si>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</si>
  <si>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</si>
  <si>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</si>
  <si>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</si>
  <si>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</si>
  <si>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</si>
  <si>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</si>
  <si>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</si>
  <si>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</si>
  <si>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</si>
  <si>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</si>
  <si>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</si>
  <si>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</si>
  <si>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</si>
  <si>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</si>
  <si>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</si>
  <si>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</si>
  <si>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</si>
  <si>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</si>
  <si>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</si>
  <si>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</si>
  <si>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</si>
  <si>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</si>
  <si>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</si>
  <si>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</si>
  <si>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</si>
  <si>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</si>
  <si>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</si>
  <si>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</si>
  <si>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</si>
  <si>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</si>
  <si>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</si>
  <si>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</si>
  <si>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</si>
  <si>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</si>
  <si>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</si>
  <si>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</si>
  <si>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</si>
  <si>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</si>
  <si>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</si>
  <si>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</si>
  <si>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</si>
  <si>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</si>
  <si>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</si>
  <si>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</si>
  <si>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</si>
  <si>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</si>
  <si>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</si>
  <si>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</si>
  <si>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</si>
  <si>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</si>
  <si>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</si>
  <si>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</si>
  <si>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</si>
  <si>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</si>
  <si>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</si>
  <si>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</si>
  <si>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</si>
  <si>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</si>
  <si>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</si>
  <si>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</si>
  <si>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</si>
  <si>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</si>
  <si>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</si>
  <si>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</si>
  <si>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</si>
  <si>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</si>
  <si>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</si>
  <si>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</si>
  <si>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</si>
  <si>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</si>
  <si>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</si>
  <si>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</si>
  <si>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</si>
  <si>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</si>
  <si>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</si>
  <si>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</si>
  <si>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</si>
  <si>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</si>
  <si>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</si>
  <si>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</si>
  <si>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</si>
  <si>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</si>
  <si>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</si>
  <si>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</si>
  <si>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</si>
  <si>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</si>
  <si>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</si>
  <si>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</si>
  <si>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</si>
  <si>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</si>
  <si>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</si>
  <si>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</si>
  <si>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</si>
  <si>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</si>
  <si>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t>
  </si>
  <si>
    <t>CustomerKey</t>
  </si>
  <si>
    <t>CustomerID</t>
  </si>
  <si>
    <t>ALFKI, ANATR</t>
  </si>
  <si>
    <t>CompanyName</t>
  </si>
  <si>
    <t>ContactName</t>
  </si>
  <si>
    <t>ContactTitle</t>
  </si>
  <si>
    <t>Name of contact at the company</t>
  </si>
  <si>
    <t>Contact's job title</t>
  </si>
  <si>
    <t>CustomerCountry</t>
  </si>
  <si>
    <t>CustomerRegion</t>
  </si>
  <si>
    <t>CustomerCity</t>
  </si>
  <si>
    <t>CustomerPostalCode</t>
  </si>
  <si>
    <t>Country</t>
  </si>
  <si>
    <t>Region</t>
  </si>
  <si>
    <t>City</t>
  </si>
  <si>
    <t>PostalCode</t>
  </si>
  <si>
    <t>Northwind</t>
  </si>
  <si>
    <t>dbo</t>
  </si>
  <si>
    <t>Customers</t>
  </si>
  <si>
    <t>DimEmployee</t>
  </si>
  <si>
    <t>Employee</t>
  </si>
  <si>
    <t>EmployeeKey</t>
  </si>
  <si>
    <t>EmployeeID</t>
  </si>
  <si>
    <t>EmployeeName</t>
  </si>
  <si>
    <t>LastName + ', ' + FirstName</t>
  </si>
  <si>
    <t>EmployeeTitle</t>
  </si>
  <si>
    <t>Employees</t>
  </si>
  <si>
    <t>Title</t>
  </si>
  <si>
    <t>DimProduct</t>
  </si>
  <si>
    <t>Product</t>
  </si>
  <si>
    <t>ProductKey</t>
  </si>
  <si>
    <t>Product Key</t>
  </si>
  <si>
    <t>ProductID</t>
  </si>
  <si>
    <t>FactSales</t>
  </si>
  <si>
    <t>Sales</t>
  </si>
  <si>
    <t>Key to DimProduct</t>
  </si>
  <si>
    <t>Key lookup from DimProduct.ProductKey</t>
  </si>
  <si>
    <t>DimProduct.ProductKey</t>
  </si>
  <si>
    <t>Key to DimCustomer</t>
  </si>
  <si>
    <t>Key lookup from DimCustomer.CustomerKey</t>
  </si>
  <si>
    <t>DimCustomer.CustomerKey</t>
  </si>
  <si>
    <t>ist722_hmtelang_dw</t>
  </si>
  <si>
    <t>The Northwind Traders Data Warehouse</t>
  </si>
  <si>
    <t>Customer Dimension</t>
  </si>
  <si>
    <t>One row for each customer</t>
  </si>
  <si>
    <t>Sourced from Northwind</t>
  </si>
  <si>
    <t>Customer Company's Name</t>
  </si>
  <si>
    <t>Country of Origin</t>
  </si>
  <si>
    <t>State or Province</t>
  </si>
  <si>
    <t>Customer's City</t>
  </si>
  <si>
    <t>Customer's Postal Code</t>
  </si>
  <si>
    <t>Hrishikesh Telang</t>
  </si>
  <si>
    <t>PwC</t>
  </si>
  <si>
    <t>Information Consultant</t>
  </si>
  <si>
    <t>USA</t>
  </si>
  <si>
    <t>Massachusetts</t>
  </si>
  <si>
    <t>Boston</t>
  </si>
  <si>
    <t>DimAudit.AuditKey</t>
  </si>
  <si>
    <t>InsertAuditKey</t>
  </si>
  <si>
    <t>UpdateAuditKey</t>
  </si>
  <si>
    <t>What process loaded this row?</t>
  </si>
  <si>
    <t>What process most recently updated this row?</t>
  </si>
  <si>
    <t>Standard Audit dim</t>
  </si>
  <si>
    <t>EmployeeDateofBirth</t>
  </si>
  <si>
    <t>EmployeeHireDate</t>
  </si>
  <si>
    <t>EmployeeCountry</t>
  </si>
  <si>
    <t>EmployeeCity</t>
  </si>
  <si>
    <t>EmployeeRegion</t>
  </si>
  <si>
    <t>EmployeePostalCode</t>
  </si>
  <si>
    <t>EmployeePhoneNumber</t>
  </si>
  <si>
    <t>Name of the employee at the company</t>
  </si>
  <si>
    <t>Employee's Job Title</t>
  </si>
  <si>
    <t>Employee's Date of Birth</t>
  </si>
  <si>
    <t>Employee's date of hire</t>
  </si>
  <si>
    <t>Employee's Country Origin</t>
  </si>
  <si>
    <t>The region where the Employee Lives</t>
  </si>
  <si>
    <t>The city where the Employee Lives</t>
  </si>
  <si>
    <t>The postal code of the Employee</t>
  </si>
  <si>
    <t>The phone number of the Employee</t>
  </si>
  <si>
    <t>1, 2, 3,…</t>
  </si>
  <si>
    <t>Nancy Davolio</t>
  </si>
  <si>
    <t>Vice President Sales</t>
  </si>
  <si>
    <t>Seattle</t>
  </si>
  <si>
    <t>WA</t>
  </si>
  <si>
    <t>206-555-812</t>
  </si>
  <si>
    <t>BirthDate</t>
  </si>
  <si>
    <t>HireDate</t>
  </si>
  <si>
    <t>Home Phone</t>
  </si>
  <si>
    <t>ProductName</t>
  </si>
  <si>
    <t>ProductSupplierID</t>
  </si>
  <si>
    <t>ProductCategoryID</t>
  </si>
  <si>
    <t>ProductUnitPrice</t>
  </si>
  <si>
    <t>ProductUnitsInStock</t>
  </si>
  <si>
    <t>ProductUnitsOnOrder</t>
  </si>
  <si>
    <t>ProductReorderLevel</t>
  </si>
  <si>
    <t>ProductDiscontinued</t>
  </si>
  <si>
    <t>Products</t>
  </si>
  <si>
    <t>UnitPrice</t>
  </si>
  <si>
    <t>UnitsInStock</t>
  </si>
  <si>
    <t>UnitsOnOrder</t>
  </si>
  <si>
    <t>ReorderLevel</t>
  </si>
  <si>
    <t>Discontinued</t>
  </si>
  <si>
    <t>The name of the Product</t>
  </si>
  <si>
    <t>Foreign Key</t>
  </si>
  <si>
    <t>The unit price of the product</t>
  </si>
  <si>
    <t>The units of the product that are currently in stock</t>
  </si>
  <si>
    <t>The units of the product that are currently being ordered</t>
  </si>
  <si>
    <t>Have the products been discontinued (Y/N)?</t>
  </si>
  <si>
    <t>Ritz Chocolates</t>
  </si>
  <si>
    <t>0, 1</t>
  </si>
  <si>
    <t>Northwind.dbo.Suppliers</t>
  </si>
  <si>
    <t>Northwind.dbo.Categories</t>
  </si>
  <si>
    <t>ShippedDate</t>
  </si>
  <si>
    <t>OrderedDate</t>
  </si>
  <si>
    <t>Key to DimEmployee</t>
  </si>
  <si>
    <t>Key lookup from DimEmployee.EmployeeKey</t>
  </si>
  <si>
    <t>DimEmployee.EmployeeKey</t>
  </si>
  <si>
    <t>OrderedDateKey</t>
  </si>
  <si>
    <t>ShippedDateKey</t>
  </si>
  <si>
    <t>Key to DimDate</t>
  </si>
  <si>
    <t>Quantity</t>
  </si>
  <si>
    <t>TotalAmount</t>
  </si>
  <si>
    <t>DiscountAmount</t>
  </si>
  <si>
    <t>SalesAmount</t>
  </si>
  <si>
    <t>OrderID</t>
  </si>
  <si>
    <t>Order Number</t>
  </si>
  <si>
    <t>Quantity of the Product</t>
  </si>
  <si>
    <t>Quantity * Unit Price</t>
  </si>
  <si>
    <t>TotalAmount * DiscountRate</t>
  </si>
  <si>
    <t>TotalAmount - DiscountAmount</t>
  </si>
  <si>
    <t>Key lookup from DimDate.DateKey</t>
  </si>
  <si>
    <t>amounts</t>
  </si>
  <si>
    <t>1, 2, 3...</t>
  </si>
  <si>
    <t>exclude from cube</t>
  </si>
  <si>
    <t>DimDate.DateKey</t>
  </si>
  <si>
    <t>OrderDetails</t>
  </si>
  <si>
    <t>UnitPrice * Discount</t>
  </si>
  <si>
    <t>Quantity * (1-Discount) * UnitPrice</t>
  </si>
  <si>
    <t>FactOrderFulfillment</t>
  </si>
  <si>
    <t>FactOrders</t>
  </si>
  <si>
    <t>Shipment order details</t>
  </si>
  <si>
    <t>One row for each order</t>
  </si>
  <si>
    <t>LagDay</t>
  </si>
  <si>
    <t>OrderDateKey</t>
  </si>
  <si>
    <t>DeliveryDateKey</t>
  </si>
  <si>
    <t>Delay of Shipment</t>
  </si>
  <si>
    <t>count</t>
  </si>
  <si>
    <t>DAY(OrderDate) -DAY(ShipDate)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</si>
</sst>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
      <sz val="8"/>
      <color theme="4"/>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Border="1" applyAlignment="1">
      <alignment wrapText="1"/>
    </xf>
    <xf numFmtId="0" fontId="1" fillId="21" borderId="0" xfId="44" applyFill="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2" fillId="23" borderId="12" xfId="0" applyFont="1" applyFill="1" applyBorder="1" applyAlignment="1">
      <alignment horizontal="left" vertical="top"/>
    </xf>
    <xf numFmtId="0" fontId="1" fillId="0" borderId="0" xfId="0" applyFont="1" applyBorder="1" applyAlignment="1">
      <alignment horizontal="left" wrapText="1"/>
    </xf>
    <xf numFmtId="0" fontId="29" fillId="0" borderId="0" xfId="0" applyFont="1" applyBorder="1" applyAlignment="1">
      <alignment horizontal="left" vertical="top" wrapText="1"/>
    </xf>
    <xf numFmtId="0" fontId="29" fillId="0" borderId="0" xfId="0" applyFont="1" applyBorder="1" applyAlignment="1">
      <alignment horizontal="left" vertical="top"/>
    </xf>
    <xf numFmtId="0" fontId="29" fillId="23" borderId="13" xfId="0" applyFont="1" applyFill="1" applyBorder="1" applyAlignment="1">
      <alignment horizontal="left" vertical="top"/>
    </xf>
    <xf numFmtId="0" fontId="29" fillId="23" borderId="0" xfId="0" applyFont="1" applyFill="1" applyBorder="1" applyAlignment="1">
      <alignment horizontal="left" vertical="top"/>
    </xf>
    <xf numFmtId="0" fontId="29" fillId="23" borderId="12" xfId="0" applyFont="1" applyFill="1" applyBorder="1" applyAlignment="1">
      <alignment horizontal="left" vertical="top"/>
    </xf>
    <xf numFmtId="0" fontId="29" fillId="23" borderId="13" xfId="0" applyFont="1" applyFill="1" applyBorder="1" applyAlignment="1">
      <alignment horizontal="left" vertical="top" wrapText="1"/>
    </xf>
    <xf numFmtId="0" fontId="29" fillId="23" borderId="0" xfId="0" applyFont="1" applyFill="1" applyBorder="1" applyAlignment="1">
      <alignment horizontal="left" vertical="top" wrapText="1"/>
    </xf>
    <xf numFmtId="0" fontId="29" fillId="23" borderId="12" xfId="0" applyFont="1" applyFill="1" applyBorder="1" applyAlignment="1">
      <alignment horizontal="left" vertical="top" wrapText="1"/>
    </xf>
    <xf numFmtId="0" fontId="5" fillId="0" borderId="0" xfId="44" applyFont="1" applyBorder="1" applyAlignment="1">
      <alignment horizontal="left" wrapText="1"/>
    </xf>
    <xf numFmtId="0" fontId="1" fillId="0" borderId="0" xfId="44" applyFill="1" applyBorder="1" applyAlignment="1">
      <alignment horizontal="left" wrapText="1"/>
    </xf>
    <xf numFmtId="0" fontId="1" fillId="20" borderId="0" xfId="44" applyFont="1" applyFill="1" applyBorder="1" applyAlignment="1">
      <alignment horizontal="left" wrapText="1"/>
    </xf>
    <xf numFmtId="0" fontId="1" fillId="20" borderId="0" xfId="44" applyFill="1" applyBorder="1" applyAlignment="1">
      <alignment horizontal="left" wrapText="1"/>
    </xf>
    <xf numFmtId="0" fontId="26" fillId="20" borderId="0" xfId="44" applyFont="1" applyFill="1" applyAlignment="1">
      <alignment horizontal="left" vertical="center" wrapText="1" readingOrder="1"/>
    </xf>
    <xf numFmtId="0" fontId="1" fillId="0" borderId="0" xfId="44" applyFont="1" applyFill="1" applyBorder="1" applyAlignment="1">
      <alignment wrapText="1"/>
    </xf>
    <xf numFmtId="14" fontId="6" fillId="0" borderId="0" xfId="0" applyNumberFormat="1" applyFont="1" applyBorder="1" applyAlignment="1">
      <alignment horizontal="left" vertical="top" wrapText="1"/>
    </xf>
    <xf numFmtId="2" fontId="6" fillId="0" borderId="0" xfId="0" applyNumberFormat="1" applyFont="1" applyBorder="1" applyAlignment="1">
      <alignment horizontal="left" vertical="top" wrapText="1"/>
    </xf>
    <xf numFmtId="8" fontId="2" fillId="0" borderId="0" xfId="0" applyNumberFormat="1" applyFont="1" applyBorder="1" applyAlignment="1">
      <alignment horizontal="left" vertical="top" wrapText="1"/>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5" fillId="0" borderId="0" xfId="0" applyFont="1" applyAlignment="1">
      <alignment horizontal="left"/>
    </xf>
    <xf numFmtId="0" fontId="1" fillId="0" borderId="0" xfId="0" applyFont="1" applyAlignment="1">
      <alignment horizontal="left"/>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89CA20F-51DB-42EB-9E35-75DD9AACB0D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1012825</xdr:colOff>
      <xdr:row>28</xdr:row>
      <xdr:rowOff>58738</xdr:rowOff>
    </xdr:from>
    <xdr:to>
      <xdr:col>7</xdr:col>
      <xdr:colOff>1527175</xdr:colOff>
      <xdr:row>39</xdr:row>
      <xdr:rowOff>49213</xdr:rowOff>
    </xdr:to>
    <xdr:sp macro="" textlink="">
      <xdr:nvSpPr>
        <xdr:cNvPr id="3" name="Text Box 1">
          <a:extLst>
            <a:ext uri="{FF2B5EF4-FFF2-40B4-BE49-F238E27FC236}">
              <a16:creationId xmlns:a16="http://schemas.microsoft.com/office/drawing/2014/main" id="{0DAE9A76-E056-4483-BA63-476D92D00E4D}"/>
            </a:ext>
          </a:extLst>
        </xdr:cNvPr>
        <xdr:cNvSpPr txBox="1">
          <a:spLocks noChangeArrowheads="1"/>
        </xdr:cNvSpPr>
      </xdr:nvSpPr>
      <xdr:spPr bwMode="auto">
        <a:xfrm>
          <a:off x="3989388" y="4900613"/>
          <a:ext cx="6515100" cy="1824038"/>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D8B93E0-16AC-480E-9D50-CD4D742EF0C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1066800</xdr:colOff>
      <xdr:row>31</xdr:row>
      <xdr:rowOff>3175</xdr:rowOff>
    </xdr:from>
    <xdr:to>
      <xdr:col>7</xdr:col>
      <xdr:colOff>1885950</xdr:colOff>
      <xdr:row>41</xdr:row>
      <xdr:rowOff>158750</xdr:rowOff>
    </xdr:to>
    <xdr:sp macro="" textlink="">
      <xdr:nvSpPr>
        <xdr:cNvPr id="3" name="Text Box 1">
          <a:extLst>
            <a:ext uri="{FF2B5EF4-FFF2-40B4-BE49-F238E27FC236}">
              <a16:creationId xmlns:a16="http://schemas.microsoft.com/office/drawing/2014/main" id="{073B42BD-B328-46BE-8243-12A30E949B7A}"/>
            </a:ext>
          </a:extLst>
        </xdr:cNvPr>
        <xdr:cNvSpPr txBox="1">
          <a:spLocks noChangeArrowheads="1"/>
        </xdr:cNvSpPr>
      </xdr:nvSpPr>
      <xdr:spPr bwMode="auto">
        <a:xfrm>
          <a:off x="4038600" y="46767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62637BA-26F2-4A44-BAAF-4A2C920AE76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6AB16351-A0DD-4BF9-ABCC-683B91FA7137}"/>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A72AAFF-5420-4681-A15D-6AE78CC6FDC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26307</xdr:rowOff>
    </xdr:from>
    <xdr:to>
      <xdr:col>8</xdr:col>
      <xdr:colOff>485775</xdr:colOff>
      <xdr:row>35</xdr:row>
      <xdr:rowOff>16782</xdr:rowOff>
    </xdr:to>
    <xdr:sp macro="" textlink="">
      <xdr:nvSpPr>
        <xdr:cNvPr id="3" name="Text Box 1">
          <a:extLst>
            <a:ext uri="{FF2B5EF4-FFF2-40B4-BE49-F238E27FC236}">
              <a16:creationId xmlns:a16="http://schemas.microsoft.com/office/drawing/2014/main" id="{C9C2F9D0-31D7-46C7-8601-F948B0274613}"/>
            </a:ext>
          </a:extLst>
        </xdr:cNvPr>
        <xdr:cNvSpPr txBox="1">
          <a:spLocks noChangeArrowheads="1"/>
        </xdr:cNvSpPr>
      </xdr:nvSpPr>
      <xdr:spPr bwMode="auto">
        <a:xfrm>
          <a:off x="3730171" y="4286250"/>
          <a:ext cx="7017204" cy="182653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A0B2FE-838D-C843-876D-069C8BBF9AC7}"/>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CC0AD43E-AE69-A343-8A93-D2F5F0B48A84}"/>
            </a:ext>
          </a:extLst>
        </xdr:cNvPr>
        <xdr:cNvSpPr txBox="1">
          <a:spLocks noChangeArrowheads="1"/>
        </xdr:cNvSpPr>
      </xdr:nvSpPr>
      <xdr:spPr bwMode="auto">
        <a:xfrm>
          <a:off x="3733800" y="40576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8" sqref="C8"/>
    </sheetView>
  </sheetViews>
  <sheetFormatPr baseColWidth="10" defaultColWidth="9.1640625" defaultRowHeight="13" x14ac:dyDescent="0.15"/>
  <cols>
    <col min="1" max="1" width="5.33203125" style="64" customWidth="1"/>
    <col min="2" max="2" width="25.5" style="64" customWidth="1"/>
    <col min="3" max="3" width="106.33203125" style="64" customWidth="1"/>
    <col min="4" max="8" width="9.1640625" style="64"/>
    <col min="9" max="9" width="5.6640625" style="64" customWidth="1"/>
    <col min="10" max="16384" width="9.1640625" style="64"/>
  </cols>
  <sheetData>
    <row r="1" spans="2:3" ht="18" x14ac:dyDescent="0.2">
      <c r="B1" s="63" t="s">
        <v>116</v>
      </c>
    </row>
    <row r="2" spans="2:3" ht="18" x14ac:dyDescent="0.2">
      <c r="B2" s="63" t="s">
        <v>117</v>
      </c>
    </row>
    <row r="3" spans="2:3" ht="18" x14ac:dyDescent="0.2">
      <c r="B3" s="63"/>
    </row>
    <row r="4" spans="2:3" ht="18" x14ac:dyDescent="0.2">
      <c r="B4" s="63" t="s">
        <v>47</v>
      </c>
      <c r="C4" s="65">
        <f ca="1">NOW()</f>
        <v>44649.103884953707</v>
      </c>
    </row>
    <row r="5" spans="2:3" ht="18" x14ac:dyDescent="0.2">
      <c r="B5" s="63" t="s">
        <v>46</v>
      </c>
      <c r="C5" s="65" t="s">
        <v>239</v>
      </c>
    </row>
    <row r="6" spans="2:3" ht="19" x14ac:dyDescent="0.15">
      <c r="B6" s="66" t="s">
        <v>79</v>
      </c>
      <c r="C6" s="67" t="s">
        <v>240</v>
      </c>
    </row>
    <row r="7" spans="2:3" ht="18" x14ac:dyDescent="0.2">
      <c r="B7" s="63" t="s">
        <v>48</v>
      </c>
      <c r="C7" s="68">
        <v>4</v>
      </c>
    </row>
    <row r="8" spans="2:3" ht="18" x14ac:dyDescent="0.2">
      <c r="B8" s="63" t="s">
        <v>10</v>
      </c>
      <c r="C8" s="68" t="s">
        <v>50</v>
      </c>
    </row>
    <row r="9" spans="2:3" ht="18" x14ac:dyDescent="0.2">
      <c r="B9" s="63" t="s">
        <v>142</v>
      </c>
      <c r="C9" s="68"/>
    </row>
    <row r="11" spans="2:3" x14ac:dyDescent="0.15">
      <c r="C11" s="64" t="s">
        <v>72</v>
      </c>
    </row>
    <row r="12" spans="2:3" x14ac:dyDescent="0.15">
      <c r="C12" s="64" t="s">
        <v>73</v>
      </c>
    </row>
    <row r="13" spans="2:3" x14ac:dyDescent="0.15">
      <c r="C13" s="64" t="s">
        <v>74</v>
      </c>
    </row>
    <row r="14" spans="2:3" x14ac:dyDescent="0.15">
      <c r="C14" s="64" t="s">
        <v>78</v>
      </c>
    </row>
    <row r="15" spans="2:3" x14ac:dyDescent="0.15">
      <c r="C15" s="64" t="s">
        <v>75</v>
      </c>
    </row>
    <row r="16" spans="2:3" x14ac:dyDescent="0.15">
      <c r="C16" s="64" t="s">
        <v>76</v>
      </c>
    </row>
    <row r="17" spans="2:3" x14ac:dyDescent="0.15">
      <c r="C17" s="64" t="s">
        <v>77</v>
      </c>
    </row>
    <row r="28" spans="2:3" x14ac:dyDescent="0.15">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x14ac:dyDescent="0.2">
      <c r="A1" s="73" t="s">
        <v>9</v>
      </c>
      <c r="B1" s="73" t="s">
        <v>66</v>
      </c>
      <c r="C1" s="73" t="s">
        <v>100</v>
      </c>
      <c r="D1" s="73" t="s">
        <v>4</v>
      </c>
      <c r="E1" s="74" t="s">
        <v>22</v>
      </c>
    </row>
    <row r="2" spans="1:5" ht="29" thickTop="1" x14ac:dyDescent="0.15">
      <c r="A2" s="16">
        <v>40581</v>
      </c>
      <c r="B2" s="17">
        <v>16</v>
      </c>
      <c r="C2" s="76">
        <v>4</v>
      </c>
      <c r="D2" s="79" t="s">
        <v>2</v>
      </c>
      <c r="E2" s="75" t="s">
        <v>143</v>
      </c>
    </row>
    <row r="3" spans="1:5" ht="28" x14ac:dyDescent="0.15">
      <c r="A3" s="16">
        <v>39860</v>
      </c>
      <c r="B3" s="17">
        <v>15</v>
      </c>
      <c r="C3" s="76">
        <v>3.4</v>
      </c>
      <c r="D3" s="17" t="s">
        <v>2</v>
      </c>
      <c r="E3" s="18" t="s">
        <v>109</v>
      </c>
    </row>
    <row r="4" spans="1:5" ht="28" x14ac:dyDescent="0.15">
      <c r="A4" s="15">
        <v>39828</v>
      </c>
      <c r="B4" s="13">
        <v>14</v>
      </c>
      <c r="C4" s="77">
        <v>3.4</v>
      </c>
      <c r="D4" s="13" t="s">
        <v>2</v>
      </c>
      <c r="E4" s="21" t="s">
        <v>106</v>
      </c>
    </row>
    <row r="5" spans="1:5" ht="14" x14ac:dyDescent="0.15">
      <c r="A5" s="15">
        <v>39610</v>
      </c>
      <c r="B5" s="13">
        <v>13</v>
      </c>
      <c r="C5" s="77">
        <v>3.3</v>
      </c>
      <c r="D5" s="13" t="s">
        <v>67</v>
      </c>
      <c r="E5" s="14" t="s">
        <v>99</v>
      </c>
    </row>
    <row r="6" spans="1:5" ht="28" x14ac:dyDescent="0.15">
      <c r="A6" s="15">
        <v>39588</v>
      </c>
      <c r="B6" s="13">
        <v>12</v>
      </c>
      <c r="C6" s="77">
        <v>3.3</v>
      </c>
      <c r="D6" s="13" t="s">
        <v>67</v>
      </c>
      <c r="E6" s="14" t="s">
        <v>105</v>
      </c>
    </row>
    <row r="7" spans="1:5" ht="14" x14ac:dyDescent="0.15">
      <c r="A7" s="15">
        <v>39542</v>
      </c>
      <c r="B7" s="13">
        <v>11</v>
      </c>
      <c r="C7" s="77">
        <v>3.2</v>
      </c>
      <c r="D7" s="13" t="s">
        <v>67</v>
      </c>
      <c r="E7" s="14" t="s">
        <v>95</v>
      </c>
    </row>
    <row r="8" spans="1:5" ht="28" x14ac:dyDescent="0.15">
      <c r="A8" s="15">
        <v>39402</v>
      </c>
      <c r="B8" s="13">
        <v>10</v>
      </c>
      <c r="C8" s="77">
        <v>3.2</v>
      </c>
      <c r="D8" s="13" t="s">
        <v>67</v>
      </c>
      <c r="E8" s="14" t="s">
        <v>94</v>
      </c>
    </row>
    <row r="9" spans="1:5" ht="28" x14ac:dyDescent="0.15">
      <c r="A9" s="15">
        <v>38939</v>
      </c>
      <c r="B9" s="13">
        <v>9</v>
      </c>
      <c r="C9" s="77"/>
      <c r="D9" s="13" t="s">
        <v>67</v>
      </c>
      <c r="E9" s="14" t="s">
        <v>93</v>
      </c>
    </row>
    <row r="10" spans="1:5" ht="14" x14ac:dyDescent="0.15">
      <c r="A10" s="15">
        <v>38936</v>
      </c>
      <c r="B10" s="13">
        <v>8</v>
      </c>
      <c r="C10" s="77"/>
      <c r="D10" s="13" t="s">
        <v>67</v>
      </c>
      <c r="E10" s="14" t="s">
        <v>92</v>
      </c>
    </row>
    <row r="11" spans="1:5" ht="28" x14ac:dyDescent="0.15">
      <c r="A11" s="15">
        <v>38923</v>
      </c>
      <c r="B11" s="13">
        <v>7</v>
      </c>
      <c r="C11" s="77"/>
      <c r="D11" s="13" t="s">
        <v>67</v>
      </c>
      <c r="E11" s="14" t="s">
        <v>89</v>
      </c>
    </row>
    <row r="12" spans="1:5" ht="14" x14ac:dyDescent="0.15">
      <c r="A12" s="15">
        <v>38923</v>
      </c>
      <c r="B12" s="13">
        <v>6</v>
      </c>
      <c r="C12" s="77"/>
      <c r="D12" s="13" t="s">
        <v>67</v>
      </c>
      <c r="E12" s="14" t="s">
        <v>88</v>
      </c>
    </row>
    <row r="13" spans="1:5" ht="18.75" customHeight="1" x14ac:dyDescent="0.15">
      <c r="A13" s="15">
        <v>38911</v>
      </c>
      <c r="B13" s="13">
        <v>5</v>
      </c>
      <c r="C13" s="77"/>
      <c r="D13" s="13" t="s">
        <v>67</v>
      </c>
      <c r="E13" s="14" t="s">
        <v>1</v>
      </c>
    </row>
    <row r="14" spans="1:5" ht="14" x14ac:dyDescent="0.15">
      <c r="A14" s="15">
        <v>38855</v>
      </c>
      <c r="B14" s="13">
        <v>4</v>
      </c>
      <c r="C14" s="77"/>
      <c r="D14" s="13" t="s">
        <v>2</v>
      </c>
      <c r="E14" s="14" t="s">
        <v>70</v>
      </c>
    </row>
    <row r="15" spans="1:5" ht="14" x14ac:dyDescent="0.15">
      <c r="A15" s="15">
        <v>38728</v>
      </c>
      <c r="B15" s="13">
        <v>3</v>
      </c>
      <c r="C15" s="77"/>
      <c r="D15" s="13" t="s">
        <v>2</v>
      </c>
      <c r="E15" s="14" t="s">
        <v>3</v>
      </c>
    </row>
    <row r="16" spans="1:5" ht="14" x14ac:dyDescent="0.15">
      <c r="A16" s="15">
        <v>38594</v>
      </c>
      <c r="B16" s="13">
        <v>2</v>
      </c>
      <c r="C16" s="77"/>
      <c r="D16" s="13" t="s">
        <v>67</v>
      </c>
      <c r="E16" s="14" t="s">
        <v>69</v>
      </c>
    </row>
    <row r="17" spans="1:5" ht="14" x14ac:dyDescent="0.15">
      <c r="A17" s="70">
        <v>38594</v>
      </c>
      <c r="B17" s="71">
        <v>1</v>
      </c>
      <c r="C17" s="78"/>
      <c r="D17" s="71" t="s">
        <v>67</v>
      </c>
      <c r="E17" s="72" t="s">
        <v>68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196</v>
      </c>
      <c r="C1" s="11"/>
      <c r="E1" s="4"/>
      <c r="F1" s="4"/>
      <c r="G1" s="11"/>
    </row>
    <row r="2" spans="1:21" s="11" customFormat="1" x14ac:dyDescent="0.15">
      <c r="A2" s="27" t="s">
        <v>12</v>
      </c>
      <c r="B2" s="23" t="s">
        <v>13</v>
      </c>
      <c r="E2" s="2"/>
      <c r="F2" s="2"/>
    </row>
    <row r="3" spans="1:21" x14ac:dyDescent="0.15">
      <c r="A3" s="28" t="s">
        <v>71</v>
      </c>
      <c r="B3" s="19" t="s">
        <v>127</v>
      </c>
    </row>
    <row r="4" spans="1:21" x14ac:dyDescent="0.15">
      <c r="A4" s="28" t="s">
        <v>96</v>
      </c>
    </row>
    <row r="5" spans="1:21" s="11" customFormat="1" x14ac:dyDescent="0.15">
      <c r="A5" s="27" t="s">
        <v>97</v>
      </c>
      <c r="B5" s="19" t="s">
        <v>128</v>
      </c>
      <c r="E5" s="2"/>
      <c r="F5" s="2"/>
      <c r="H5" s="9"/>
    </row>
    <row r="6" spans="1:21" s="11" customFormat="1" x14ac:dyDescent="0.15">
      <c r="A6" s="27" t="s">
        <v>112</v>
      </c>
      <c r="B6" s="19" t="s">
        <v>129</v>
      </c>
      <c r="E6" s="2"/>
      <c r="F6" s="2"/>
    </row>
    <row r="7" spans="1:21" s="11" customFormat="1" x14ac:dyDescent="0.15">
      <c r="A7" s="29" t="s">
        <v>113</v>
      </c>
      <c r="B7" s="9"/>
      <c r="E7" s="2"/>
      <c r="F7" s="2"/>
    </row>
    <row r="8" spans="1:21" s="11" customFormat="1" x14ac:dyDescent="0.15">
      <c r="A8" s="29" t="s">
        <v>21</v>
      </c>
      <c r="B8" s="19"/>
      <c r="E8" s="2"/>
      <c r="F8" s="2"/>
    </row>
    <row r="9" spans="1:21" s="11" customFormat="1" x14ac:dyDescent="0.15">
      <c r="A9" s="27" t="s">
        <v>98</v>
      </c>
      <c r="B9" s="42" t="s">
        <v>19</v>
      </c>
      <c r="C9" s="20"/>
      <c r="E9" s="2"/>
      <c r="F9" s="2"/>
      <c r="G9" s="20"/>
    </row>
    <row r="11" spans="1:21" s="25" customFormat="1" ht="13.5" customHeight="1" x14ac:dyDescent="0.15">
      <c r="A11" s="55"/>
      <c r="B11" s="55"/>
      <c r="C11" s="55"/>
      <c r="D11" s="55"/>
      <c r="E11" s="56"/>
      <c r="F11" s="56"/>
      <c r="G11" s="55"/>
      <c r="H11" s="57"/>
      <c r="I11" s="58"/>
      <c r="J11" s="138" t="s">
        <v>24</v>
      </c>
      <c r="K11" s="139"/>
      <c r="L11" s="139"/>
      <c r="M11" s="139"/>
      <c r="N11" s="139"/>
      <c r="O11" s="139"/>
      <c r="P11" s="140"/>
      <c r="Q11" s="141" t="s">
        <v>25</v>
      </c>
      <c r="R11" s="142"/>
      <c r="S11" s="142"/>
      <c r="T11" s="142"/>
      <c r="U11" s="143"/>
    </row>
    <row r="12" spans="1:21" s="25" customFormat="1" ht="26.25" customHeight="1" x14ac:dyDescent="0.1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3" customFormat="1" ht="12" x14ac:dyDescent="0.15">
      <c r="A13" s="122" t="s">
        <v>62</v>
      </c>
      <c r="B13" s="122" t="s">
        <v>80</v>
      </c>
      <c r="C13" s="122" t="s">
        <v>32</v>
      </c>
      <c r="D13" s="123">
        <v>-1</v>
      </c>
      <c r="E13" s="122" t="s">
        <v>7</v>
      </c>
      <c r="F13" s="122" t="s">
        <v>118</v>
      </c>
      <c r="G13" s="122"/>
      <c r="H13" s="122"/>
      <c r="I13" s="122"/>
      <c r="J13" s="124" t="s">
        <v>18</v>
      </c>
      <c r="K13" s="125"/>
      <c r="L13" s="125"/>
      <c r="M13" s="125" t="s">
        <v>20</v>
      </c>
      <c r="N13" s="125"/>
      <c r="O13" s="125" t="s">
        <v>19</v>
      </c>
      <c r="P13" s="126"/>
      <c r="Q13" s="127" t="s">
        <v>36</v>
      </c>
      <c r="R13" s="128"/>
      <c r="S13" s="125"/>
      <c r="T13" s="128"/>
      <c r="U13" s="129"/>
    </row>
    <row r="14" spans="1:21" s="6" customFormat="1" ht="12" x14ac:dyDescent="0.15">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2" x14ac:dyDescent="0.15">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2" x14ac:dyDescent="0.15">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2" x14ac:dyDescent="0.15">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12" x14ac:dyDescent="0.15">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12" x14ac:dyDescent="0.15">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4" x14ac:dyDescent="0.15">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2" x14ac:dyDescent="0.15">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110" zoomScaleNormal="110" zoomScaleSheetLayoutView="100" workbookViewId="0">
      <pane xSplit="2" ySplit="12" topLeftCell="C13" activePane="bottomRight" state="frozenSplit"/>
      <selection pane="topRight" activeCell="C1" sqref="C1"/>
      <selection pane="bottomLeft" activeCell="A13" sqref="A13"/>
      <selection pane="bottomRight" activeCell="A12" sqref="A11:E12"/>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3" t="s">
        <v>14</v>
      </c>
      <c r="B1" s="8" t="s">
        <v>130</v>
      </c>
      <c r="C1" s="11"/>
      <c r="E1" s="4"/>
      <c r="F1" s="4"/>
      <c r="G1" s="11"/>
    </row>
    <row r="2" spans="1:21" s="11" customFormat="1" x14ac:dyDescent="0.15">
      <c r="A2" s="44" t="s">
        <v>12</v>
      </c>
      <c r="B2" s="23" t="s">
        <v>23</v>
      </c>
      <c r="E2" s="2"/>
      <c r="F2" s="2"/>
    </row>
    <row r="3" spans="1:21" x14ac:dyDescent="0.15">
      <c r="A3" s="45" t="s">
        <v>71</v>
      </c>
      <c r="B3" s="19" t="s">
        <v>0</v>
      </c>
    </row>
    <row r="4" spans="1:21" x14ac:dyDescent="0.15">
      <c r="A4" s="45" t="s">
        <v>96</v>
      </c>
    </row>
    <row r="5" spans="1:21" s="11" customFormat="1" x14ac:dyDescent="0.15">
      <c r="A5" s="44" t="s">
        <v>97</v>
      </c>
      <c r="B5" s="19" t="s">
        <v>128</v>
      </c>
      <c r="E5" s="2"/>
      <c r="F5" s="2"/>
      <c r="H5" s="9"/>
    </row>
    <row r="6" spans="1:21" s="11" customFormat="1" x14ac:dyDescent="0.15">
      <c r="A6" s="44" t="s">
        <v>112</v>
      </c>
      <c r="B6" s="19" t="s">
        <v>129</v>
      </c>
      <c r="E6" s="2"/>
      <c r="F6" s="2"/>
    </row>
    <row r="7" spans="1:21" s="11" customFormat="1" x14ac:dyDescent="0.15">
      <c r="A7" s="46" t="s">
        <v>113</v>
      </c>
      <c r="B7" s="9"/>
      <c r="E7" s="2"/>
      <c r="F7" s="2"/>
    </row>
    <row r="8" spans="1:21" s="11" customFormat="1" x14ac:dyDescent="0.15">
      <c r="A8" s="46" t="s">
        <v>21</v>
      </c>
      <c r="B8" s="19"/>
      <c r="E8" s="2"/>
      <c r="F8" s="2"/>
    </row>
    <row r="9" spans="1:21" s="11" customFormat="1" x14ac:dyDescent="0.15">
      <c r="A9" s="44" t="s">
        <v>98</v>
      </c>
      <c r="B9" s="42" t="s">
        <v>19</v>
      </c>
      <c r="C9" s="20"/>
      <c r="E9" s="2"/>
      <c r="F9" s="2"/>
      <c r="G9" s="20"/>
    </row>
    <row r="11" spans="1:21" s="25" customFormat="1" ht="13.5" customHeight="1" x14ac:dyDescent="0.15">
      <c r="A11" s="47"/>
      <c r="B11" s="47"/>
      <c r="C11" s="47"/>
      <c r="D11" s="47"/>
      <c r="E11" s="48"/>
      <c r="F11" s="48"/>
      <c r="G11" s="47"/>
      <c r="H11" s="49"/>
      <c r="I11" s="50"/>
      <c r="J11" s="144" t="s">
        <v>24</v>
      </c>
      <c r="K11" s="145"/>
      <c r="L11" s="145"/>
      <c r="M11" s="145"/>
      <c r="N11" s="145"/>
      <c r="O11" s="145"/>
      <c r="P11" s="146"/>
      <c r="Q11" s="147" t="s">
        <v>25</v>
      </c>
      <c r="R11" s="148"/>
      <c r="S11" s="148"/>
      <c r="T11" s="148"/>
      <c r="U11" s="149"/>
    </row>
    <row r="12" spans="1:21" s="25" customFormat="1" ht="23.25" customHeight="1" x14ac:dyDescent="0.1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4" x14ac:dyDescent="0.15">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4" x14ac:dyDescent="0.15">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4" x14ac:dyDescent="0.15">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2" x14ac:dyDescent="0.15">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2" x14ac:dyDescent="0.15">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2" x14ac:dyDescent="0.15">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x14ac:dyDescent="0.15">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84B41-265B-4DBB-ADEB-C809A43D6AC5}">
  <sheetPr codeName="Sheet27">
    <tabColor theme="7" tint="0.79998168889431442"/>
    <pageSetUpPr fitToPage="1"/>
  </sheetPr>
  <dimension ref="A1:U28"/>
  <sheetViews>
    <sheetView topLeftCell="H1" zoomScale="140" zoomScaleNormal="140" zoomScaleSheetLayoutView="100" workbookViewId="0">
      <selection activeCell="O24" sqref="O24"/>
    </sheetView>
  </sheetViews>
  <sheetFormatPr baseColWidth="10" defaultColWidth="9.1640625" defaultRowHeight="13" x14ac:dyDescent="0.15"/>
  <cols>
    <col min="1" max="1" width="20.5" style="9" customWidth="1"/>
    <col min="2" max="2" width="18.5" style="9" customWidth="1"/>
    <col min="3" max="3" width="37.5" style="9" bestFit="1" customWidth="1"/>
    <col min="4" max="4" width="10.5" style="9" customWidth="1"/>
    <col min="5" max="5" width="18.83203125" style="7" bestFit="1" customWidth="1"/>
    <col min="6" max="6" width="4.6640625" style="7" customWidth="1"/>
    <col min="7" max="7" width="12.1640625" style="9" bestFit="1" customWidth="1"/>
    <col min="8" max="8" width="20.33203125" style="9" bestFit="1" customWidth="1"/>
    <col min="9" max="9" width="7.33203125" style="9" bestFit="1"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197</v>
      </c>
      <c r="C1" s="11"/>
      <c r="E1" s="4"/>
      <c r="F1" s="4"/>
      <c r="G1" s="11"/>
    </row>
    <row r="2" spans="1:21" s="11" customFormat="1" x14ac:dyDescent="0.15">
      <c r="A2" s="27" t="s">
        <v>12</v>
      </c>
      <c r="B2" s="23" t="s">
        <v>13</v>
      </c>
      <c r="E2" s="2"/>
      <c r="F2" s="2"/>
    </row>
    <row r="3" spans="1:21" x14ac:dyDescent="0.15">
      <c r="A3" s="28" t="s">
        <v>71</v>
      </c>
      <c r="B3" s="19" t="s">
        <v>197</v>
      </c>
    </row>
    <row r="4" spans="1:21" x14ac:dyDescent="0.15">
      <c r="A4" s="28" t="s">
        <v>96</v>
      </c>
      <c r="B4" s="19" t="s">
        <v>214</v>
      </c>
    </row>
    <row r="5" spans="1:21" s="11" customFormat="1" x14ac:dyDescent="0.15">
      <c r="A5" s="27" t="s">
        <v>97</v>
      </c>
      <c r="B5" s="19" t="s">
        <v>241</v>
      </c>
      <c r="E5" s="2"/>
      <c r="F5" s="2"/>
      <c r="H5" s="9"/>
    </row>
    <row r="6" spans="1:21" s="11" customFormat="1" x14ac:dyDescent="0.15">
      <c r="A6" s="27" t="s">
        <v>112</v>
      </c>
      <c r="B6" s="19" t="s">
        <v>243</v>
      </c>
      <c r="E6" s="2"/>
      <c r="F6" s="2"/>
    </row>
    <row r="7" spans="1:21" s="11" customFormat="1" x14ac:dyDescent="0.15">
      <c r="A7" s="29" t="s">
        <v>113</v>
      </c>
      <c r="B7" s="9"/>
      <c r="E7" s="2"/>
      <c r="F7" s="2"/>
    </row>
    <row r="8" spans="1:21" s="11" customFormat="1" x14ac:dyDescent="0.15">
      <c r="A8" s="29" t="s">
        <v>21</v>
      </c>
      <c r="B8" s="19" t="s">
        <v>242</v>
      </c>
      <c r="E8" s="2"/>
      <c r="F8" s="2"/>
    </row>
    <row r="9" spans="1:21" s="11" customFormat="1" x14ac:dyDescent="0.15">
      <c r="A9" s="27" t="s">
        <v>98</v>
      </c>
      <c r="B9" s="42" t="s">
        <v>50</v>
      </c>
      <c r="C9" s="20"/>
      <c r="E9" s="2"/>
      <c r="F9" s="2"/>
      <c r="G9" s="20"/>
    </row>
    <row r="11" spans="1:21" s="25" customFormat="1" ht="13.5" customHeight="1" x14ac:dyDescent="0.15">
      <c r="A11" s="55"/>
      <c r="B11" s="55"/>
      <c r="C11" s="55"/>
      <c r="D11" s="55"/>
      <c r="E11" s="56"/>
      <c r="F11" s="56"/>
      <c r="G11" s="55"/>
      <c r="H11" s="57"/>
      <c r="I11" s="58"/>
      <c r="J11" s="138" t="s">
        <v>24</v>
      </c>
      <c r="K11" s="139"/>
      <c r="L11" s="139"/>
      <c r="M11" s="139"/>
      <c r="N11" s="139"/>
      <c r="O11" s="139"/>
      <c r="P11" s="140"/>
      <c r="Q11" s="141" t="s">
        <v>25</v>
      </c>
      <c r="R11" s="142"/>
      <c r="S11" s="142"/>
      <c r="T11" s="142"/>
      <c r="U11" s="143"/>
    </row>
    <row r="12" spans="1:21" s="25" customFormat="1" ht="26.25" customHeight="1" x14ac:dyDescent="0.1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59" customFormat="1" ht="12" x14ac:dyDescent="0.15">
      <c r="A13" s="158" t="s">
        <v>198</v>
      </c>
      <c r="B13" s="158" t="str">
        <f>A13</f>
        <v>CustomerKey</v>
      </c>
      <c r="C13" s="158" t="s">
        <v>32</v>
      </c>
      <c r="D13" s="159">
        <v>-1</v>
      </c>
      <c r="E13" s="158" t="s">
        <v>7</v>
      </c>
      <c r="F13" s="158" t="s">
        <v>118</v>
      </c>
      <c r="G13" s="158"/>
      <c r="H13" s="158"/>
      <c r="I13" s="158"/>
      <c r="J13" s="160" t="s">
        <v>18</v>
      </c>
      <c r="K13" s="161"/>
      <c r="L13" s="161"/>
      <c r="M13" s="161" t="s">
        <v>20</v>
      </c>
      <c r="N13" s="161"/>
      <c r="O13" s="161" t="s">
        <v>19</v>
      </c>
      <c r="P13" s="162"/>
      <c r="Q13" s="163" t="s">
        <v>36</v>
      </c>
      <c r="R13" s="164"/>
      <c r="S13" s="161"/>
      <c r="T13" s="164"/>
      <c r="U13" s="165"/>
    </row>
    <row r="14" spans="1:21" s="6" customFormat="1" ht="12" x14ac:dyDescent="0.15">
      <c r="A14" s="22" t="s">
        <v>199</v>
      </c>
      <c r="B14" s="22" t="str">
        <f t="shared" ref="B14:B21" si="0">A14</f>
        <v>CustomerID</v>
      </c>
      <c r="C14" s="22" t="s">
        <v>91</v>
      </c>
      <c r="E14" s="22" t="s">
        <v>200</v>
      </c>
      <c r="F14" s="22" t="s">
        <v>118</v>
      </c>
      <c r="G14" s="22"/>
      <c r="H14" s="5"/>
      <c r="I14" s="5"/>
      <c r="J14" s="36" t="s">
        <v>107</v>
      </c>
      <c r="K14" s="31">
        <v>5</v>
      </c>
      <c r="L14" s="31"/>
      <c r="M14" s="31"/>
      <c r="N14" s="31"/>
      <c r="O14" s="31" t="s">
        <v>19</v>
      </c>
      <c r="P14" s="32"/>
      <c r="Q14" s="38" t="s">
        <v>214</v>
      </c>
      <c r="R14" s="39" t="s">
        <v>215</v>
      </c>
      <c r="S14" s="37" t="s">
        <v>216</v>
      </c>
      <c r="T14" s="39" t="s">
        <v>199</v>
      </c>
      <c r="U14" s="40" t="s">
        <v>107</v>
      </c>
    </row>
    <row r="15" spans="1:21" s="6" customFormat="1" ht="12" x14ac:dyDescent="0.15">
      <c r="A15" s="22" t="s">
        <v>201</v>
      </c>
      <c r="B15" s="22" t="str">
        <f t="shared" si="0"/>
        <v>CompanyName</v>
      </c>
      <c r="C15" s="22" t="s">
        <v>244</v>
      </c>
      <c r="D15" s="24"/>
      <c r="E15" s="22" t="s">
        <v>250</v>
      </c>
      <c r="F15" s="5">
        <v>2</v>
      </c>
      <c r="G15" s="22"/>
      <c r="H15" s="5"/>
      <c r="I15" s="5"/>
      <c r="J15" s="36" t="s">
        <v>107</v>
      </c>
      <c r="K15" s="31">
        <v>40</v>
      </c>
      <c r="L15" s="31"/>
      <c r="M15" s="31"/>
      <c r="N15" s="31"/>
      <c r="O15" s="31" t="s">
        <v>19</v>
      </c>
      <c r="P15" s="32"/>
      <c r="Q15" s="38" t="s">
        <v>214</v>
      </c>
      <c r="R15" s="39" t="s">
        <v>215</v>
      </c>
      <c r="S15" s="37" t="s">
        <v>216</v>
      </c>
      <c r="T15" s="39" t="s">
        <v>201</v>
      </c>
      <c r="U15" s="40" t="str">
        <f t="shared" ref="U15:U21" si="1">J15</f>
        <v>nvarchar</v>
      </c>
    </row>
    <row r="16" spans="1:21" s="6" customFormat="1" ht="12" x14ac:dyDescent="0.15">
      <c r="A16" s="22" t="s">
        <v>202</v>
      </c>
      <c r="B16" s="22" t="str">
        <f t="shared" si="0"/>
        <v>ContactName</v>
      </c>
      <c r="C16" s="22" t="s">
        <v>204</v>
      </c>
      <c r="D16" s="24"/>
      <c r="E16" s="22" t="s">
        <v>249</v>
      </c>
      <c r="F16" s="5">
        <v>1</v>
      </c>
      <c r="G16" s="22"/>
      <c r="H16" s="5"/>
      <c r="I16" s="5"/>
      <c r="J16" s="36" t="s">
        <v>107</v>
      </c>
      <c r="K16" s="31">
        <v>30</v>
      </c>
      <c r="L16" s="31"/>
      <c r="M16" s="31"/>
      <c r="N16" s="31"/>
      <c r="O16" s="31" t="s">
        <v>19</v>
      </c>
      <c r="P16" s="32"/>
      <c r="Q16" s="38" t="s">
        <v>214</v>
      </c>
      <c r="R16" s="39" t="s">
        <v>215</v>
      </c>
      <c r="S16" s="37" t="s">
        <v>216</v>
      </c>
      <c r="T16" s="39" t="s">
        <v>202</v>
      </c>
      <c r="U16" s="40" t="str">
        <f t="shared" si="1"/>
        <v>nvarchar</v>
      </c>
    </row>
    <row r="17" spans="1:21" s="6" customFormat="1" ht="12" x14ac:dyDescent="0.15">
      <c r="A17" s="22" t="s">
        <v>203</v>
      </c>
      <c r="B17" s="22" t="str">
        <f t="shared" si="0"/>
        <v>ContactTitle</v>
      </c>
      <c r="C17" s="22" t="s">
        <v>205</v>
      </c>
      <c r="D17" s="24"/>
      <c r="E17" s="22" t="s">
        <v>251</v>
      </c>
      <c r="F17" s="5">
        <v>2</v>
      </c>
      <c r="G17" s="22"/>
      <c r="H17" s="5"/>
      <c r="I17" s="5"/>
      <c r="J17" s="36" t="s">
        <v>107</v>
      </c>
      <c r="K17" s="31">
        <v>30</v>
      </c>
      <c r="L17" s="31"/>
      <c r="M17" s="31"/>
      <c r="N17" s="31"/>
      <c r="O17" s="31" t="s">
        <v>19</v>
      </c>
      <c r="P17" s="32"/>
      <c r="Q17" s="38" t="s">
        <v>214</v>
      </c>
      <c r="R17" s="39" t="s">
        <v>215</v>
      </c>
      <c r="S17" s="37" t="s">
        <v>216</v>
      </c>
      <c r="T17" s="39" t="s">
        <v>203</v>
      </c>
      <c r="U17" s="40" t="str">
        <f t="shared" si="1"/>
        <v>nvarchar</v>
      </c>
    </row>
    <row r="18" spans="1:21" s="6" customFormat="1" ht="12" x14ac:dyDescent="0.15">
      <c r="A18" s="22" t="s">
        <v>206</v>
      </c>
      <c r="B18" s="22" t="str">
        <f t="shared" si="0"/>
        <v>CustomerCountry</v>
      </c>
      <c r="C18" s="22" t="s">
        <v>245</v>
      </c>
      <c r="D18" s="24"/>
      <c r="E18" s="22" t="s">
        <v>252</v>
      </c>
      <c r="F18" s="5">
        <v>2</v>
      </c>
      <c r="G18" s="22"/>
      <c r="H18" s="5"/>
      <c r="I18" s="5"/>
      <c r="J18" s="36" t="s">
        <v>107</v>
      </c>
      <c r="K18" s="31">
        <v>15</v>
      </c>
      <c r="L18" s="31"/>
      <c r="M18" s="31"/>
      <c r="N18" s="31"/>
      <c r="O18" s="31" t="s">
        <v>19</v>
      </c>
      <c r="P18" s="32"/>
      <c r="Q18" s="38" t="s">
        <v>214</v>
      </c>
      <c r="R18" s="39" t="s">
        <v>215</v>
      </c>
      <c r="S18" s="37" t="s">
        <v>216</v>
      </c>
      <c r="T18" s="39" t="s">
        <v>210</v>
      </c>
      <c r="U18" s="40" t="str">
        <f t="shared" si="1"/>
        <v>nvarchar</v>
      </c>
    </row>
    <row r="19" spans="1:21" s="6" customFormat="1" ht="12" x14ac:dyDescent="0.15">
      <c r="A19" s="22" t="s">
        <v>207</v>
      </c>
      <c r="B19" s="22" t="str">
        <f t="shared" si="0"/>
        <v>CustomerRegion</v>
      </c>
      <c r="C19" s="22" t="s">
        <v>246</v>
      </c>
      <c r="D19" s="24" t="s">
        <v>6</v>
      </c>
      <c r="E19" s="22" t="s">
        <v>253</v>
      </c>
      <c r="F19" s="5">
        <v>2</v>
      </c>
      <c r="G19" s="22"/>
      <c r="H19" s="5"/>
      <c r="I19" s="5"/>
      <c r="J19" s="36" t="s">
        <v>107</v>
      </c>
      <c r="K19" s="31">
        <v>15</v>
      </c>
      <c r="L19" s="31"/>
      <c r="M19" s="31"/>
      <c r="N19" s="31"/>
      <c r="O19" s="31" t="s">
        <v>19</v>
      </c>
      <c r="P19" s="156" t="s">
        <v>6</v>
      </c>
      <c r="Q19" s="38" t="s">
        <v>214</v>
      </c>
      <c r="R19" s="39" t="s">
        <v>215</v>
      </c>
      <c r="S19" s="37" t="s">
        <v>216</v>
      </c>
      <c r="T19" s="39" t="s">
        <v>211</v>
      </c>
      <c r="U19" s="40" t="str">
        <f t="shared" si="1"/>
        <v>nvarchar</v>
      </c>
    </row>
    <row r="20" spans="1:21" s="6" customFormat="1" ht="12" x14ac:dyDescent="0.15">
      <c r="A20" s="22" t="s">
        <v>208</v>
      </c>
      <c r="B20" s="22" t="str">
        <f t="shared" si="0"/>
        <v>CustomerCity</v>
      </c>
      <c r="C20" s="22" t="s">
        <v>247</v>
      </c>
      <c r="D20" s="24"/>
      <c r="E20" s="22" t="s">
        <v>254</v>
      </c>
      <c r="F20" s="5">
        <v>2</v>
      </c>
      <c r="G20" s="22"/>
      <c r="H20" s="5"/>
      <c r="I20" s="5"/>
      <c r="J20" s="36" t="s">
        <v>107</v>
      </c>
      <c r="K20" s="31">
        <v>15</v>
      </c>
      <c r="L20" s="31"/>
      <c r="M20" s="31"/>
      <c r="N20" s="31"/>
      <c r="O20" s="31" t="s">
        <v>19</v>
      </c>
      <c r="P20" s="32"/>
      <c r="Q20" s="38" t="s">
        <v>214</v>
      </c>
      <c r="R20" s="39" t="s">
        <v>215</v>
      </c>
      <c r="S20" s="37" t="s">
        <v>216</v>
      </c>
      <c r="T20" s="39" t="s">
        <v>212</v>
      </c>
      <c r="U20" s="40" t="str">
        <f t="shared" si="1"/>
        <v>nvarchar</v>
      </c>
    </row>
    <row r="21" spans="1:21" s="6" customFormat="1" ht="12" x14ac:dyDescent="0.15">
      <c r="A21" s="22" t="s">
        <v>209</v>
      </c>
      <c r="B21" s="22" t="str">
        <f t="shared" si="0"/>
        <v>CustomerPostalCode</v>
      </c>
      <c r="C21" s="22" t="s">
        <v>248</v>
      </c>
      <c r="D21" s="24"/>
      <c r="E21" s="5">
        <v>13244</v>
      </c>
      <c r="F21" s="5">
        <v>2</v>
      </c>
      <c r="G21" s="22"/>
      <c r="H21" s="5"/>
      <c r="I21" s="5"/>
      <c r="J21" s="36" t="s">
        <v>107</v>
      </c>
      <c r="K21" s="31">
        <v>10</v>
      </c>
      <c r="L21" s="31"/>
      <c r="M21" s="31"/>
      <c r="N21" s="31"/>
      <c r="O21" s="31" t="s">
        <v>19</v>
      </c>
      <c r="P21" s="32"/>
      <c r="Q21" s="38" t="s">
        <v>214</v>
      </c>
      <c r="R21" s="39" t="s">
        <v>215</v>
      </c>
      <c r="S21" s="37" t="s">
        <v>216</v>
      </c>
      <c r="T21" s="39" t="s">
        <v>213</v>
      </c>
      <c r="U21" s="40" t="str">
        <f t="shared" si="1"/>
        <v>nvarchar</v>
      </c>
    </row>
    <row r="22" spans="1:21" s="80" customFormat="1" ht="12" x14ac:dyDescent="0.15">
      <c r="A22" s="80" t="s">
        <v>58</v>
      </c>
      <c r="B22" s="80" t="s">
        <v>81</v>
      </c>
      <c r="C22" s="81" t="s">
        <v>38</v>
      </c>
      <c r="D22" s="80" t="s">
        <v>50</v>
      </c>
      <c r="E22" s="81" t="s">
        <v>42</v>
      </c>
      <c r="F22" s="81" t="s">
        <v>35</v>
      </c>
      <c r="G22" s="81" t="s">
        <v>115</v>
      </c>
      <c r="H22" s="81" t="s">
        <v>144</v>
      </c>
      <c r="I22" s="81"/>
      <c r="J22" s="82" t="s">
        <v>194</v>
      </c>
      <c r="K22" s="83">
        <v>1</v>
      </c>
      <c r="L22" s="83"/>
      <c r="M22" s="83"/>
      <c r="N22" s="83"/>
      <c r="O22" s="83" t="s">
        <v>19</v>
      </c>
      <c r="P22" s="84" t="b">
        <v>1</v>
      </c>
      <c r="Q22" s="85" t="s">
        <v>36</v>
      </c>
      <c r="R22" s="39"/>
      <c r="S22" s="83"/>
      <c r="T22" s="83"/>
      <c r="U22" s="84"/>
    </row>
    <row r="23" spans="1:21" s="80" customFormat="1" ht="12" x14ac:dyDescent="0.15">
      <c r="A23" s="81" t="s">
        <v>59</v>
      </c>
      <c r="B23" s="81" t="s">
        <v>82</v>
      </c>
      <c r="C23" s="81" t="s">
        <v>39</v>
      </c>
      <c r="D23" s="87">
        <v>1</v>
      </c>
      <c r="E23" s="88">
        <v>40567</v>
      </c>
      <c r="F23" s="81" t="s">
        <v>35</v>
      </c>
      <c r="G23" s="81" t="s">
        <v>115</v>
      </c>
      <c r="H23" s="81" t="s">
        <v>144</v>
      </c>
      <c r="I23" s="81"/>
      <c r="J23" s="82" t="s">
        <v>37</v>
      </c>
      <c r="K23" s="83"/>
      <c r="L23" s="83"/>
      <c r="M23" s="83"/>
      <c r="N23" s="83"/>
      <c r="O23" s="83" t="s">
        <v>19</v>
      </c>
      <c r="P23" s="84"/>
      <c r="Q23" s="85" t="s">
        <v>36</v>
      </c>
      <c r="R23" s="86"/>
      <c r="S23" s="83"/>
      <c r="T23" s="83"/>
      <c r="U23" s="84"/>
    </row>
    <row r="24" spans="1:21" s="80" customFormat="1" ht="24" x14ac:dyDescent="0.15">
      <c r="A24" s="81" t="s">
        <v>60</v>
      </c>
      <c r="B24" s="81" t="s">
        <v>83</v>
      </c>
      <c r="C24" s="81" t="s">
        <v>40</v>
      </c>
      <c r="D24" s="87">
        <v>2958465</v>
      </c>
      <c r="E24" s="81" t="s">
        <v>43</v>
      </c>
      <c r="F24" s="81" t="s">
        <v>35</v>
      </c>
      <c r="G24" s="81" t="s">
        <v>115</v>
      </c>
      <c r="H24" s="81" t="s">
        <v>144</v>
      </c>
      <c r="I24" s="81"/>
      <c r="J24" s="82" t="s">
        <v>37</v>
      </c>
      <c r="K24" s="83"/>
      <c r="L24" s="83"/>
      <c r="M24" s="83"/>
      <c r="N24" s="83"/>
      <c r="O24" s="83" t="s">
        <v>19</v>
      </c>
      <c r="P24" s="89">
        <v>2958465</v>
      </c>
      <c r="Q24" s="85" t="s">
        <v>36</v>
      </c>
      <c r="R24" s="86"/>
      <c r="S24" s="83"/>
      <c r="T24" s="83"/>
      <c r="U24" s="84"/>
    </row>
    <row r="25" spans="1:21" s="80" customFormat="1" ht="12" x14ac:dyDescent="0.15">
      <c r="A25" s="81" t="s">
        <v>61</v>
      </c>
      <c r="B25" s="81" t="s">
        <v>84</v>
      </c>
      <c r="C25" s="81" t="s">
        <v>41</v>
      </c>
      <c r="D25" s="80" t="s">
        <v>6</v>
      </c>
      <c r="E25" s="81"/>
      <c r="F25" s="81" t="s">
        <v>35</v>
      </c>
      <c r="G25" s="81" t="s">
        <v>115</v>
      </c>
      <c r="H25" s="81" t="s">
        <v>144</v>
      </c>
      <c r="I25" s="81"/>
      <c r="J25" s="82" t="s">
        <v>107</v>
      </c>
      <c r="K25" s="83">
        <v>200</v>
      </c>
      <c r="L25" s="83"/>
      <c r="M25" s="83"/>
      <c r="N25" s="83"/>
      <c r="O25" s="83" t="s">
        <v>19</v>
      </c>
      <c r="P25" s="84"/>
      <c r="Q25" s="85" t="s">
        <v>36</v>
      </c>
      <c r="R25" s="83"/>
      <c r="S25" s="83"/>
      <c r="T25" s="83"/>
      <c r="U25" s="84"/>
    </row>
    <row r="26" spans="1:21" x14ac:dyDescent="0.15">
      <c r="A26" s="81" t="s">
        <v>256</v>
      </c>
      <c r="B26" s="81" t="s">
        <v>256</v>
      </c>
      <c r="C26" s="81" t="s">
        <v>258</v>
      </c>
      <c r="D26" s="81">
        <v>-1</v>
      </c>
      <c r="E26" s="81"/>
      <c r="F26" s="81" t="s">
        <v>35</v>
      </c>
      <c r="G26" s="81" t="s">
        <v>115</v>
      </c>
      <c r="H26" s="81" t="s">
        <v>260</v>
      </c>
      <c r="I26" s="81"/>
      <c r="J26" s="82" t="s">
        <v>18</v>
      </c>
      <c r="K26" s="83"/>
      <c r="L26" s="83"/>
      <c r="M26" s="83" t="s">
        <v>44</v>
      </c>
      <c r="N26" s="83" t="s">
        <v>255</v>
      </c>
      <c r="O26" s="83" t="s">
        <v>19</v>
      </c>
      <c r="P26" s="84"/>
      <c r="Q26" s="85" t="s">
        <v>36</v>
      </c>
      <c r="R26" s="83"/>
      <c r="S26" s="83"/>
      <c r="T26" s="83"/>
      <c r="U26" s="84"/>
    </row>
    <row r="27" spans="1:21" x14ac:dyDescent="0.15">
      <c r="A27" s="81" t="s">
        <v>257</v>
      </c>
      <c r="B27" s="81" t="s">
        <v>257</v>
      </c>
      <c r="C27" s="81" t="s">
        <v>259</v>
      </c>
      <c r="D27" s="81">
        <v>-1</v>
      </c>
      <c r="E27" s="81"/>
      <c r="F27" s="81" t="s">
        <v>35</v>
      </c>
      <c r="G27" s="81" t="s">
        <v>115</v>
      </c>
      <c r="H27" s="81" t="s">
        <v>260</v>
      </c>
      <c r="I27" s="81"/>
      <c r="J27" s="82" t="s">
        <v>18</v>
      </c>
      <c r="K27" s="83"/>
      <c r="L27" s="83"/>
      <c r="M27" s="83" t="s">
        <v>44</v>
      </c>
      <c r="N27" s="83" t="s">
        <v>255</v>
      </c>
      <c r="O27" s="83" t="s">
        <v>19</v>
      </c>
      <c r="P27" s="84"/>
      <c r="Q27" s="85" t="s">
        <v>36</v>
      </c>
      <c r="R27" s="83"/>
      <c r="S27" s="83"/>
      <c r="T27" s="83"/>
      <c r="U27" s="84"/>
    </row>
    <row r="28" spans="1:21" x14ac:dyDescent="0.15">
      <c r="I28" s="81"/>
    </row>
  </sheetData>
  <dataConsolidate/>
  <mergeCells count="2">
    <mergeCell ref="J11:P11"/>
    <mergeCell ref="Q11:U11"/>
  </mergeCells>
  <dataValidations count="2">
    <dataValidation type="list" allowBlank="1" showInputMessage="1" showErrorMessage="1" promptTitle="Table Type" prompt="Dimension, Fact, or Audit" sqref="B2" xr:uid="{A7A55E5E-2628-4CFD-9F71-450E2538F8E7}">
      <formula1>"Dimension, Fact, Audit"</formula1>
    </dataValidation>
    <dataValidation type="list" allowBlank="1" showInputMessage="1" showErrorMessage="1" sqref="B9" xr:uid="{E99C6824-055A-46C2-8DBA-E2E0EDEA29E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tabSelected="1" topLeftCell="A7" zoomScale="170" zoomScaleNormal="170" zoomScaleSheetLayoutView="100" workbookViewId="0">
      <pane xSplit="2" topLeftCell="C1" activePane="topRight" state="frozen"/>
      <selection activeCell="A5" sqref="A5"/>
      <selection pane="topRight" activeCell="C9" sqref="C9"/>
    </sheetView>
  </sheetViews>
  <sheetFormatPr baseColWidth="10" defaultColWidth="9.1640625" defaultRowHeight="13" x14ac:dyDescent="0.15"/>
  <cols>
    <col min="1" max="1" width="20.5" style="98" customWidth="1"/>
    <col min="2" max="2" width="11.5" style="98" customWidth="1"/>
    <col min="3" max="3" width="32.5" style="98" customWidth="1"/>
    <col min="4" max="4" width="8.6640625" style="98" bestFit="1" customWidth="1"/>
    <col min="5" max="5" width="18.83203125" style="99" bestFit="1" customWidth="1"/>
    <col min="6" max="6" width="4.5" style="99" customWidth="1"/>
    <col min="7" max="7" width="14" style="98" bestFit="1" customWidth="1"/>
    <col min="8" max="8" width="31.5" style="98" customWidth="1"/>
    <col min="9" max="9" width="37" style="98" customWidth="1"/>
    <col min="10" max="10" width="9.5" style="98" customWidth="1"/>
    <col min="11" max="11" width="6.1640625" style="98" customWidth="1"/>
    <col min="12" max="12" width="7.33203125" style="98" customWidth="1"/>
    <col min="13" max="13" width="4.5" style="98" bestFit="1" customWidth="1"/>
    <col min="14" max="14" width="13.83203125" style="98" bestFit="1" customWidth="1"/>
    <col min="15" max="15" width="5.6640625" style="98" customWidth="1"/>
    <col min="16" max="16" width="10.5" style="98" customWidth="1"/>
    <col min="17" max="17" width="6.33203125" style="98" bestFit="1" customWidth="1"/>
    <col min="18" max="18" width="12" style="98" bestFit="1" customWidth="1"/>
    <col min="19" max="19" width="13.6640625" style="98" bestFit="1" customWidth="1"/>
    <col min="20" max="20" width="14.83203125" style="98" bestFit="1" customWidth="1"/>
    <col min="21" max="21" width="10.1640625" style="98" customWidth="1"/>
    <col min="22" max="16384" width="9.1640625" style="98"/>
  </cols>
  <sheetData>
    <row r="1" spans="1:21" s="93" customFormat="1" ht="19" x14ac:dyDescent="0.2">
      <c r="A1" s="91" t="s">
        <v>14</v>
      </c>
      <c r="B1" s="166" t="s">
        <v>145</v>
      </c>
      <c r="C1" s="92"/>
      <c r="E1" s="94"/>
      <c r="F1" s="94"/>
      <c r="G1" s="92"/>
    </row>
    <row r="2" spans="1:21" s="92" customFormat="1" ht="14" x14ac:dyDescent="0.15">
      <c r="A2" s="95" t="s">
        <v>12</v>
      </c>
      <c r="B2" s="167" t="s">
        <v>13</v>
      </c>
      <c r="E2" s="96"/>
      <c r="F2" s="96"/>
    </row>
    <row r="3" spans="1:21" ht="14" x14ac:dyDescent="0.15">
      <c r="A3" s="97" t="s">
        <v>71</v>
      </c>
      <c r="B3" s="168" t="s">
        <v>9</v>
      </c>
    </row>
    <row r="4" spans="1:21" ht="14" x14ac:dyDescent="0.15">
      <c r="A4" s="97" t="s">
        <v>96</v>
      </c>
      <c r="B4" s="99" t="s">
        <v>146</v>
      </c>
    </row>
    <row r="5" spans="1:21" s="92" customFormat="1" ht="70" x14ac:dyDescent="0.15">
      <c r="A5" s="95" t="s">
        <v>97</v>
      </c>
      <c r="B5" s="169" t="s">
        <v>195</v>
      </c>
      <c r="E5" s="96"/>
      <c r="F5" s="96"/>
      <c r="H5" s="98"/>
    </row>
    <row r="6" spans="1:21" s="92" customFormat="1" ht="56" x14ac:dyDescent="0.15">
      <c r="A6" s="95" t="s">
        <v>112</v>
      </c>
      <c r="B6" s="170" t="s">
        <v>147</v>
      </c>
      <c r="E6" s="96"/>
      <c r="F6" s="96"/>
    </row>
    <row r="7" spans="1:21" s="92" customFormat="1" x14ac:dyDescent="0.15">
      <c r="A7" s="100" t="s">
        <v>113</v>
      </c>
      <c r="B7" s="169"/>
      <c r="E7" s="96"/>
      <c r="F7" s="96"/>
    </row>
    <row r="8" spans="1:21" s="92" customFormat="1" ht="14" x14ac:dyDescent="0.15">
      <c r="A8" s="100" t="s">
        <v>21</v>
      </c>
      <c r="B8" s="168" t="s">
        <v>148</v>
      </c>
      <c r="E8" s="96"/>
      <c r="F8" s="96"/>
    </row>
    <row r="9" spans="1:21" s="92" customFormat="1" ht="14" x14ac:dyDescent="0.15">
      <c r="A9" s="95" t="s">
        <v>98</v>
      </c>
      <c r="B9" s="171" t="s">
        <v>50</v>
      </c>
      <c r="C9" s="101"/>
      <c r="E9" s="96"/>
      <c r="F9" s="96"/>
      <c r="G9" s="101"/>
    </row>
    <row r="11" spans="1:21" s="106" customFormat="1" ht="13.5" customHeight="1" x14ac:dyDescent="0.15">
      <c r="A11" s="102"/>
      <c r="B11" s="102"/>
      <c r="C11" s="102"/>
      <c r="D11" s="102"/>
      <c r="E11" s="103"/>
      <c r="F11" s="103"/>
      <c r="G11" s="102"/>
      <c r="H11" s="104"/>
      <c r="I11" s="105"/>
      <c r="J11" s="150" t="s">
        <v>24</v>
      </c>
      <c r="K11" s="151"/>
      <c r="L11" s="151"/>
      <c r="M11" s="151"/>
      <c r="N11" s="151"/>
      <c r="O11" s="151"/>
      <c r="P11" s="152"/>
      <c r="Q11" s="153" t="s">
        <v>25</v>
      </c>
      <c r="R11" s="154"/>
      <c r="S11" s="154"/>
      <c r="T11" s="154"/>
      <c r="U11" s="155"/>
    </row>
    <row r="12" spans="1:21" s="106" customFormat="1" ht="22.5" customHeight="1" x14ac:dyDescent="0.15">
      <c r="A12" s="103" t="s">
        <v>15</v>
      </c>
      <c r="B12" s="103" t="s">
        <v>71</v>
      </c>
      <c r="C12" s="103" t="s">
        <v>22</v>
      </c>
      <c r="D12" s="103" t="s">
        <v>5</v>
      </c>
      <c r="E12" s="103" t="s">
        <v>26</v>
      </c>
      <c r="F12" s="103" t="s">
        <v>34</v>
      </c>
      <c r="G12" s="103" t="s">
        <v>111</v>
      </c>
      <c r="H12" s="103" t="s">
        <v>49</v>
      </c>
      <c r="I12" s="103" t="s">
        <v>29</v>
      </c>
      <c r="J12" s="107" t="s">
        <v>27</v>
      </c>
      <c r="K12" s="102" t="s">
        <v>21</v>
      </c>
      <c r="L12" s="102" t="s">
        <v>28</v>
      </c>
      <c r="M12" s="102" t="s">
        <v>16</v>
      </c>
      <c r="N12" s="102" t="s">
        <v>30</v>
      </c>
      <c r="O12" s="102" t="s">
        <v>17</v>
      </c>
      <c r="P12" s="108" t="s">
        <v>31</v>
      </c>
      <c r="Q12" s="109" t="s">
        <v>54</v>
      </c>
      <c r="R12" s="102" t="s">
        <v>55</v>
      </c>
      <c r="S12" s="102" t="s">
        <v>56</v>
      </c>
      <c r="T12" s="102" t="s">
        <v>57</v>
      </c>
      <c r="U12" s="108" t="s">
        <v>45</v>
      </c>
    </row>
    <row r="13" spans="1:21" s="131" customFormat="1" ht="12" x14ac:dyDescent="0.15">
      <c r="A13" s="130" t="s">
        <v>149</v>
      </c>
      <c r="B13" s="130" t="s">
        <v>149</v>
      </c>
      <c r="C13" s="130" t="s">
        <v>32</v>
      </c>
      <c r="D13" s="131">
        <v>-1</v>
      </c>
      <c r="E13" s="130">
        <v>20041123</v>
      </c>
      <c r="F13" s="130"/>
      <c r="G13" s="130"/>
      <c r="H13" s="131" t="s">
        <v>150</v>
      </c>
      <c r="I13" s="130"/>
      <c r="J13" s="132" t="s">
        <v>18</v>
      </c>
      <c r="K13" s="133"/>
      <c r="L13" s="133"/>
      <c r="M13" s="133" t="s">
        <v>151</v>
      </c>
      <c r="N13" s="133"/>
      <c r="O13" s="133" t="s">
        <v>19</v>
      </c>
      <c r="P13" s="134"/>
      <c r="Q13" s="135" t="s">
        <v>36</v>
      </c>
      <c r="R13" s="136"/>
      <c r="S13" s="133"/>
      <c r="T13" s="136"/>
      <c r="U13" s="137"/>
    </row>
    <row r="14" spans="1:21" s="111" customFormat="1" ht="12" x14ac:dyDescent="0.15">
      <c r="A14" s="110" t="s">
        <v>9</v>
      </c>
      <c r="B14" s="110" t="s">
        <v>9</v>
      </c>
      <c r="C14" s="110" t="s">
        <v>152</v>
      </c>
      <c r="E14" s="110">
        <v>38314</v>
      </c>
      <c r="F14" s="110"/>
      <c r="G14" s="110" t="s">
        <v>153</v>
      </c>
      <c r="I14" s="110"/>
      <c r="J14" s="112" t="s">
        <v>154</v>
      </c>
      <c r="K14" s="113"/>
      <c r="L14" s="113"/>
      <c r="M14" s="113"/>
      <c r="N14" s="113"/>
      <c r="O14" s="113" t="s">
        <v>50</v>
      </c>
      <c r="P14" s="114"/>
      <c r="Q14" s="115" t="s">
        <v>36</v>
      </c>
      <c r="R14" s="116"/>
      <c r="S14" s="113"/>
      <c r="T14" s="116"/>
      <c r="U14" s="117"/>
    </row>
    <row r="15" spans="1:21" s="111" customFormat="1" ht="12" x14ac:dyDescent="0.15">
      <c r="A15" s="111" t="s">
        <v>155</v>
      </c>
      <c r="B15" s="111" t="s">
        <v>155</v>
      </c>
      <c r="C15" s="110" t="s">
        <v>156</v>
      </c>
      <c r="D15" s="111" t="s">
        <v>157</v>
      </c>
      <c r="E15" s="110" t="s">
        <v>158</v>
      </c>
      <c r="F15" s="110">
        <v>1</v>
      </c>
      <c r="G15" s="110" t="s">
        <v>153</v>
      </c>
      <c r="H15" s="110"/>
      <c r="I15" s="110"/>
      <c r="J15" s="112" t="s">
        <v>108</v>
      </c>
      <c r="K15" s="113">
        <v>11</v>
      </c>
      <c r="L15" s="113"/>
      <c r="M15" s="113"/>
      <c r="N15" s="113"/>
      <c r="O15" s="113" t="s">
        <v>19</v>
      </c>
      <c r="P15" s="114"/>
      <c r="Q15" s="115" t="s">
        <v>36</v>
      </c>
      <c r="R15" s="116"/>
      <c r="S15" s="113"/>
      <c r="T15" s="113"/>
      <c r="U15" s="114"/>
    </row>
    <row r="16" spans="1:21" s="111" customFormat="1" ht="12" x14ac:dyDescent="0.15">
      <c r="A16" s="110" t="s">
        <v>159</v>
      </c>
      <c r="B16" s="110" t="s">
        <v>159</v>
      </c>
      <c r="C16" s="110" t="s">
        <v>160</v>
      </c>
      <c r="D16" s="111">
        <v>0</v>
      </c>
      <c r="E16" s="110" t="s">
        <v>161</v>
      </c>
      <c r="F16" s="110">
        <v>1</v>
      </c>
      <c r="G16" s="110" t="s">
        <v>153</v>
      </c>
      <c r="H16" s="110"/>
      <c r="I16" s="110"/>
      <c r="J16" s="112" t="s">
        <v>162</v>
      </c>
      <c r="K16" s="113"/>
      <c r="L16" s="113"/>
      <c r="M16" s="113"/>
      <c r="N16" s="113"/>
      <c r="O16" s="113" t="s">
        <v>19</v>
      </c>
      <c r="P16" s="114"/>
      <c r="Q16" s="115" t="s">
        <v>36</v>
      </c>
      <c r="R16" s="116"/>
      <c r="S16" s="113"/>
      <c r="T16" s="113"/>
      <c r="U16" s="114"/>
    </row>
    <row r="17" spans="1:21" s="111" customFormat="1" ht="12" x14ac:dyDescent="0.15">
      <c r="A17" s="110" t="s">
        <v>163</v>
      </c>
      <c r="B17" s="110" t="s">
        <v>163</v>
      </c>
      <c r="C17" s="110" t="s">
        <v>164</v>
      </c>
      <c r="D17" s="111" t="s">
        <v>157</v>
      </c>
      <c r="E17" s="110" t="s">
        <v>165</v>
      </c>
      <c r="F17" s="110">
        <v>1</v>
      </c>
      <c r="G17" s="110" t="s">
        <v>153</v>
      </c>
      <c r="H17" s="110"/>
      <c r="I17" s="110"/>
      <c r="J17" s="112" t="s">
        <v>108</v>
      </c>
      <c r="K17" s="113">
        <v>10</v>
      </c>
      <c r="L17" s="113"/>
      <c r="M17" s="113"/>
      <c r="N17" s="113"/>
      <c r="O17" s="113" t="s">
        <v>19</v>
      </c>
      <c r="P17" s="114"/>
      <c r="Q17" s="115" t="s">
        <v>36</v>
      </c>
      <c r="R17" s="116"/>
      <c r="S17" s="113"/>
      <c r="T17" s="113"/>
      <c r="U17" s="114"/>
    </row>
    <row r="18" spans="1:21" s="111" customFormat="1" ht="12" x14ac:dyDescent="0.15">
      <c r="A18" s="110" t="s">
        <v>166</v>
      </c>
      <c r="B18" s="110" t="s">
        <v>166</v>
      </c>
      <c r="C18" s="110" t="s">
        <v>167</v>
      </c>
      <c r="D18" s="111">
        <v>0</v>
      </c>
      <c r="E18" s="110" t="s">
        <v>168</v>
      </c>
      <c r="F18" s="110">
        <v>1</v>
      </c>
      <c r="G18" s="110" t="s">
        <v>153</v>
      </c>
      <c r="H18" s="118"/>
      <c r="I18" s="110"/>
      <c r="J18" s="112" t="s">
        <v>162</v>
      </c>
      <c r="K18" s="113"/>
      <c r="L18" s="113"/>
      <c r="M18" s="113"/>
      <c r="N18" s="113"/>
      <c r="O18" s="113" t="s">
        <v>19</v>
      </c>
      <c r="P18" s="114"/>
      <c r="Q18" s="115" t="s">
        <v>36</v>
      </c>
      <c r="R18" s="113"/>
      <c r="S18" s="113"/>
      <c r="T18" s="119"/>
      <c r="U18" s="114"/>
    </row>
    <row r="19" spans="1:21" s="111" customFormat="1" ht="12" x14ac:dyDescent="0.15">
      <c r="A19" s="110" t="s">
        <v>169</v>
      </c>
      <c r="B19" s="110" t="s">
        <v>169</v>
      </c>
      <c r="C19" s="110" t="s">
        <v>170</v>
      </c>
      <c r="D19" s="111">
        <v>0</v>
      </c>
      <c r="E19" s="110" t="s">
        <v>171</v>
      </c>
      <c r="F19" s="110">
        <v>1</v>
      </c>
      <c r="G19" s="110" t="s">
        <v>153</v>
      </c>
      <c r="H19" s="118"/>
      <c r="I19" s="110"/>
      <c r="J19" s="112" t="s">
        <v>8</v>
      </c>
      <c r="K19" s="113"/>
      <c r="L19" s="113"/>
      <c r="M19" s="113"/>
      <c r="N19" s="113"/>
      <c r="O19" s="113" t="s">
        <v>19</v>
      </c>
      <c r="P19" s="114"/>
      <c r="Q19" s="115" t="s">
        <v>36</v>
      </c>
      <c r="R19" s="113"/>
      <c r="S19" s="113"/>
      <c r="T19" s="119"/>
      <c r="U19" s="114"/>
    </row>
    <row r="20" spans="1:21" s="111" customFormat="1" ht="12" x14ac:dyDescent="0.15">
      <c r="A20" s="110" t="s">
        <v>172</v>
      </c>
      <c r="B20" s="110" t="s">
        <v>172</v>
      </c>
      <c r="C20" s="110" t="s">
        <v>173</v>
      </c>
      <c r="D20" s="111">
        <v>0</v>
      </c>
      <c r="E20" s="110" t="s">
        <v>174</v>
      </c>
      <c r="F20" s="110">
        <v>1</v>
      </c>
      <c r="G20" s="110" t="s">
        <v>175</v>
      </c>
      <c r="H20" s="118"/>
      <c r="I20" s="110"/>
      <c r="J20" s="112" t="s">
        <v>162</v>
      </c>
      <c r="K20" s="113"/>
      <c r="L20" s="113"/>
      <c r="M20" s="113"/>
      <c r="N20" s="113"/>
      <c r="O20" s="113" t="s">
        <v>19</v>
      </c>
      <c r="P20" s="114"/>
      <c r="Q20" s="115" t="s">
        <v>36</v>
      </c>
      <c r="R20" s="113"/>
      <c r="S20" s="113"/>
      <c r="T20" s="119"/>
      <c r="U20" s="114"/>
    </row>
    <row r="21" spans="1:21" s="111" customFormat="1" ht="12" x14ac:dyDescent="0.15">
      <c r="A21" s="110" t="s">
        <v>176</v>
      </c>
      <c r="B21" s="110" t="s">
        <v>176</v>
      </c>
      <c r="C21" s="110" t="s">
        <v>177</v>
      </c>
      <c r="D21" s="111" t="s">
        <v>178</v>
      </c>
      <c r="E21" s="110" t="s">
        <v>179</v>
      </c>
      <c r="F21" s="110">
        <v>1</v>
      </c>
      <c r="G21" s="110" t="s">
        <v>175</v>
      </c>
      <c r="H21" s="110"/>
      <c r="I21" s="110"/>
      <c r="J21" s="112" t="s">
        <v>108</v>
      </c>
      <c r="K21" s="113">
        <v>10</v>
      </c>
      <c r="L21" s="113"/>
      <c r="M21" s="113"/>
      <c r="N21" s="113"/>
      <c r="O21" s="113" t="s">
        <v>19</v>
      </c>
      <c r="P21" s="114"/>
      <c r="Q21" s="115" t="s">
        <v>36</v>
      </c>
      <c r="R21" s="116"/>
      <c r="S21" s="113"/>
      <c r="T21" s="113"/>
      <c r="U21" s="114"/>
    </row>
    <row r="22" spans="1:21" s="111" customFormat="1" ht="12" x14ac:dyDescent="0.15">
      <c r="A22" s="110" t="s">
        <v>180</v>
      </c>
      <c r="B22" s="110" t="s">
        <v>180</v>
      </c>
      <c r="C22" s="110" t="s">
        <v>181</v>
      </c>
      <c r="D22" s="111">
        <v>0</v>
      </c>
      <c r="E22" s="110" t="s">
        <v>182</v>
      </c>
      <c r="F22" s="110">
        <v>1</v>
      </c>
      <c r="G22" s="110" t="s">
        <v>175</v>
      </c>
      <c r="H22" s="118"/>
      <c r="I22" s="110"/>
      <c r="J22" s="112" t="s">
        <v>162</v>
      </c>
      <c r="K22" s="113"/>
      <c r="L22" s="113"/>
      <c r="M22" s="113"/>
      <c r="N22" s="113"/>
      <c r="O22" s="113" t="s">
        <v>19</v>
      </c>
      <c r="P22" s="114"/>
      <c r="Q22" s="115" t="s">
        <v>36</v>
      </c>
      <c r="R22" s="113"/>
      <c r="S22" s="113"/>
      <c r="T22" s="113"/>
      <c r="U22" s="114"/>
    </row>
    <row r="23" spans="1:21" s="111" customFormat="1" ht="12" x14ac:dyDescent="0.15">
      <c r="A23" s="110" t="s">
        <v>183</v>
      </c>
      <c r="B23" s="110" t="s">
        <v>183</v>
      </c>
      <c r="C23" s="110" t="s">
        <v>184</v>
      </c>
      <c r="D23" s="111">
        <v>0</v>
      </c>
      <c r="E23" s="110" t="s">
        <v>185</v>
      </c>
      <c r="F23" s="110">
        <v>1</v>
      </c>
      <c r="G23" s="110" t="s">
        <v>175</v>
      </c>
      <c r="H23" s="118"/>
      <c r="I23" s="110"/>
      <c r="J23" s="112" t="s">
        <v>162</v>
      </c>
      <c r="K23" s="113"/>
      <c r="L23" s="113"/>
      <c r="M23" s="113"/>
      <c r="N23" s="113"/>
      <c r="O23" s="113" t="s">
        <v>19</v>
      </c>
      <c r="P23" s="114"/>
      <c r="Q23" s="115" t="s">
        <v>36</v>
      </c>
      <c r="R23" s="113"/>
      <c r="S23" s="113"/>
      <c r="T23" s="113"/>
      <c r="U23" s="114"/>
    </row>
    <row r="24" spans="1:21" s="111" customFormat="1" ht="12" x14ac:dyDescent="0.15">
      <c r="A24" s="110" t="s">
        <v>186</v>
      </c>
      <c r="B24" s="110" t="s">
        <v>186</v>
      </c>
      <c r="C24" s="110" t="s">
        <v>187</v>
      </c>
      <c r="D24" s="111" t="s">
        <v>188</v>
      </c>
      <c r="E24" s="110" t="s">
        <v>179</v>
      </c>
      <c r="F24" s="110">
        <v>1</v>
      </c>
      <c r="G24" s="110" t="s">
        <v>175</v>
      </c>
      <c r="H24" s="110"/>
      <c r="I24" s="110"/>
      <c r="J24" s="112" t="s">
        <v>108</v>
      </c>
      <c r="K24" s="113">
        <v>10</v>
      </c>
      <c r="L24" s="113"/>
      <c r="M24" s="113"/>
      <c r="N24" s="113"/>
      <c r="O24" s="113" t="s">
        <v>19</v>
      </c>
      <c r="P24" s="114"/>
      <c r="Q24" s="115" t="s">
        <v>36</v>
      </c>
      <c r="R24" s="116"/>
      <c r="S24" s="113"/>
      <c r="T24" s="113"/>
      <c r="U24" s="114"/>
    </row>
    <row r="25" spans="1:21" s="111" customFormat="1" ht="12" x14ac:dyDescent="0.15">
      <c r="A25" s="110" t="s">
        <v>189</v>
      </c>
      <c r="B25" s="110" t="s">
        <v>189</v>
      </c>
      <c r="C25" s="110" t="s">
        <v>190</v>
      </c>
      <c r="D25" s="111">
        <v>0</v>
      </c>
      <c r="E25" s="110">
        <v>2004</v>
      </c>
      <c r="F25" s="110">
        <v>1</v>
      </c>
      <c r="G25" s="110" t="s">
        <v>175</v>
      </c>
      <c r="H25" s="110"/>
      <c r="I25" s="110"/>
      <c r="J25" s="112" t="s">
        <v>8</v>
      </c>
      <c r="K25" s="113"/>
      <c r="L25" s="113"/>
      <c r="M25" s="113"/>
      <c r="N25" s="113"/>
      <c r="O25" s="113" t="s">
        <v>19</v>
      </c>
      <c r="P25" s="114"/>
      <c r="Q25" s="115" t="s">
        <v>36</v>
      </c>
      <c r="R25" s="113"/>
      <c r="S25" s="113"/>
      <c r="T25" s="116"/>
      <c r="U25" s="114"/>
    </row>
    <row r="26" spans="1:21" s="111" customFormat="1" ht="12" x14ac:dyDescent="0.15">
      <c r="A26" s="110" t="s">
        <v>191</v>
      </c>
      <c r="B26" s="110" t="s">
        <v>191</v>
      </c>
      <c r="C26" s="110" t="s">
        <v>192</v>
      </c>
      <c r="D26" s="111">
        <v>0</v>
      </c>
      <c r="E26" s="110" t="s">
        <v>193</v>
      </c>
      <c r="F26" s="110">
        <v>1</v>
      </c>
      <c r="G26" s="110" t="s">
        <v>153</v>
      </c>
      <c r="H26" s="118"/>
      <c r="I26" s="110"/>
      <c r="J26" s="112" t="s">
        <v>194</v>
      </c>
      <c r="K26" s="113"/>
      <c r="L26" s="113"/>
      <c r="M26" s="113"/>
      <c r="N26" s="113"/>
      <c r="O26" s="113" t="s">
        <v>19</v>
      </c>
      <c r="P26" s="114">
        <v>0</v>
      </c>
      <c r="Q26" s="115" t="s">
        <v>36</v>
      </c>
      <c r="R26" s="113"/>
      <c r="S26" s="113"/>
      <c r="T26" s="119"/>
      <c r="U26" s="114"/>
    </row>
    <row r="27" spans="1:21" s="111" customFormat="1" x14ac:dyDescent="0.15">
      <c r="A27" s="110"/>
      <c r="B27" s="110"/>
      <c r="C27" s="110"/>
      <c r="E27" s="110"/>
      <c r="F27" s="110"/>
      <c r="G27" s="110"/>
      <c r="H27" s="118"/>
      <c r="I27" s="110"/>
      <c r="J27" s="98"/>
      <c r="K27" s="98"/>
      <c r="L27" s="98"/>
      <c r="M27" s="98"/>
      <c r="N27" s="98"/>
      <c r="O27" s="98"/>
      <c r="P27" s="98"/>
      <c r="Q27" s="98"/>
      <c r="R27" s="98"/>
      <c r="S27" s="98"/>
      <c r="T27" s="98"/>
      <c r="U27" s="98"/>
    </row>
    <row r="28" spans="1:21" s="111" customFormat="1" x14ac:dyDescent="0.15">
      <c r="A28" s="110"/>
      <c r="B28" s="110"/>
      <c r="C28" s="110"/>
      <c r="E28" s="110"/>
      <c r="F28" s="110"/>
      <c r="G28" s="110"/>
      <c r="H28" s="118"/>
      <c r="I28" s="110"/>
      <c r="J28" s="98"/>
      <c r="K28" s="98"/>
      <c r="L28" s="98"/>
      <c r="M28" s="98"/>
      <c r="N28" s="98"/>
      <c r="O28" s="98"/>
      <c r="P28" s="98"/>
      <c r="Q28" s="98"/>
      <c r="R28" s="98"/>
      <c r="S28" s="98"/>
      <c r="T28" s="98"/>
      <c r="U28" s="98"/>
    </row>
    <row r="29" spans="1:21" s="111" customFormat="1" x14ac:dyDescent="0.15">
      <c r="A29" s="110"/>
      <c r="B29" s="110"/>
      <c r="C29" s="110"/>
      <c r="E29" s="110"/>
      <c r="F29" s="110"/>
      <c r="G29" s="110"/>
      <c r="H29" s="118"/>
      <c r="I29" s="110"/>
      <c r="J29" s="98"/>
      <c r="K29" s="98"/>
      <c r="L29" s="98"/>
      <c r="M29" s="98"/>
      <c r="N29" s="98"/>
      <c r="O29" s="98"/>
      <c r="P29" s="98"/>
      <c r="Q29" s="98"/>
      <c r="R29" s="98"/>
      <c r="S29" s="98"/>
      <c r="T29" s="98"/>
      <c r="U29" s="98"/>
    </row>
    <row r="30" spans="1:21" s="111" customFormat="1" x14ac:dyDescent="0.15">
      <c r="A30" s="110"/>
      <c r="B30" s="110"/>
      <c r="C30" s="110"/>
      <c r="E30" s="110"/>
      <c r="F30" s="110"/>
      <c r="G30" s="110"/>
      <c r="H30" s="118"/>
      <c r="I30" s="110"/>
      <c r="J30" s="98"/>
      <c r="K30" s="98"/>
      <c r="L30" s="98"/>
      <c r="M30" s="98"/>
      <c r="N30" s="98"/>
      <c r="O30" s="98"/>
      <c r="P30" s="98"/>
      <c r="Q30" s="98"/>
      <c r="R30" s="98"/>
      <c r="S30" s="98"/>
      <c r="T30" s="98"/>
      <c r="U30" s="98"/>
    </row>
    <row r="31" spans="1:21" s="111" customFormat="1" x14ac:dyDescent="0.15">
      <c r="A31" s="110"/>
      <c r="B31" s="110"/>
      <c r="C31" s="110"/>
      <c r="E31" s="110"/>
      <c r="F31" s="110"/>
      <c r="G31" s="110"/>
      <c r="H31" s="118"/>
      <c r="I31" s="110"/>
      <c r="J31" s="98"/>
      <c r="K31" s="98"/>
      <c r="L31" s="98"/>
      <c r="M31" s="98"/>
      <c r="N31" s="98"/>
      <c r="O31" s="98"/>
      <c r="P31" s="98"/>
      <c r="Q31" s="98"/>
      <c r="R31" s="98"/>
      <c r="S31" s="98"/>
      <c r="T31" s="98"/>
      <c r="U31" s="98"/>
    </row>
    <row r="32" spans="1:21" s="120" customFormat="1" x14ac:dyDescent="0.15">
      <c r="A32" s="111"/>
      <c r="B32" s="110"/>
      <c r="C32" s="110"/>
      <c r="D32" s="111"/>
      <c r="E32" s="110"/>
      <c r="F32" s="110"/>
      <c r="G32" s="110"/>
      <c r="H32" s="110"/>
      <c r="I32" s="110"/>
      <c r="J32" s="111"/>
      <c r="K32" s="111"/>
      <c r="L32" s="111"/>
      <c r="M32" s="111"/>
      <c r="N32" s="111"/>
      <c r="O32" s="111"/>
      <c r="P32" s="111"/>
      <c r="Q32" s="110"/>
      <c r="R32" s="110"/>
      <c r="S32" s="111"/>
      <c r="T32" s="111"/>
      <c r="U32" s="111"/>
    </row>
    <row r="33" spans="5:5" x14ac:dyDescent="0.15">
      <c r="E33" s="121"/>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65C8E-6F5B-4BD4-A545-A3D3578FD704}">
  <sheetPr codeName="Sheet28">
    <tabColor theme="7" tint="0.79998168889431442"/>
    <pageSetUpPr fitToPage="1"/>
  </sheetPr>
  <dimension ref="A1:U27"/>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U26" sqref="U26"/>
    </sheetView>
  </sheetViews>
  <sheetFormatPr baseColWidth="10" defaultColWidth="9.1640625" defaultRowHeight="13" x14ac:dyDescent="0.15"/>
  <cols>
    <col min="1" max="1" width="20.5" style="9" customWidth="1"/>
    <col min="2" max="2" width="19.1640625" style="9" customWidth="1"/>
    <col min="3" max="3" width="32.5" style="9" customWidth="1"/>
    <col min="4" max="4" width="11.33203125" style="9" bestFit="1"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217</v>
      </c>
      <c r="C1" s="11"/>
      <c r="E1" s="4"/>
      <c r="F1" s="4"/>
      <c r="G1" s="11"/>
    </row>
    <row r="2" spans="1:21" s="11" customFormat="1" x14ac:dyDescent="0.15">
      <c r="A2" s="27" t="s">
        <v>12</v>
      </c>
      <c r="B2" s="23" t="s">
        <v>13</v>
      </c>
      <c r="E2" s="2"/>
      <c r="F2" s="2"/>
    </row>
    <row r="3" spans="1:21" x14ac:dyDescent="0.15">
      <c r="A3" s="28" t="s">
        <v>71</v>
      </c>
      <c r="B3" s="19" t="s">
        <v>218</v>
      </c>
    </row>
    <row r="4" spans="1:21" x14ac:dyDescent="0.15">
      <c r="A4" s="28" t="s">
        <v>96</v>
      </c>
      <c r="B4" s="9" t="s">
        <v>146</v>
      </c>
    </row>
    <row r="5" spans="1:21" s="11" customFormat="1" x14ac:dyDescent="0.15">
      <c r="A5" s="27" t="s">
        <v>97</v>
      </c>
      <c r="B5" s="19" t="s">
        <v>128</v>
      </c>
      <c r="E5" s="2"/>
      <c r="F5" s="2"/>
      <c r="H5" s="9"/>
    </row>
    <row r="6" spans="1:21" s="11" customFormat="1" x14ac:dyDescent="0.15">
      <c r="A6" s="27" t="s">
        <v>112</v>
      </c>
      <c r="B6" s="19" t="s">
        <v>129</v>
      </c>
      <c r="E6" s="2"/>
      <c r="F6" s="2"/>
    </row>
    <row r="7" spans="1:21" s="11" customFormat="1" x14ac:dyDescent="0.15">
      <c r="A7" s="29" t="s">
        <v>113</v>
      </c>
      <c r="B7" s="9"/>
      <c r="E7" s="2"/>
      <c r="F7" s="2"/>
    </row>
    <row r="8" spans="1:21" s="11" customFormat="1" x14ac:dyDescent="0.15">
      <c r="A8" s="29" t="s">
        <v>21</v>
      </c>
      <c r="B8" s="19"/>
      <c r="E8" s="2"/>
      <c r="F8" s="2"/>
    </row>
    <row r="9" spans="1:21" s="11" customFormat="1" x14ac:dyDescent="0.15">
      <c r="A9" s="27" t="s">
        <v>98</v>
      </c>
      <c r="B9" s="42" t="s">
        <v>50</v>
      </c>
      <c r="C9" s="20"/>
      <c r="E9" s="2"/>
      <c r="F9" s="2"/>
      <c r="G9" s="20"/>
    </row>
    <row r="11" spans="1:21" s="25" customFormat="1" ht="13.5" customHeight="1" x14ac:dyDescent="0.15">
      <c r="A11" s="55"/>
      <c r="B11" s="55"/>
      <c r="C11" s="55"/>
      <c r="D11" s="55"/>
      <c r="E11" s="56"/>
      <c r="F11" s="56"/>
      <c r="G11" s="55"/>
      <c r="H11" s="57"/>
      <c r="I11" s="58"/>
      <c r="J11" s="138" t="s">
        <v>24</v>
      </c>
      <c r="K11" s="139"/>
      <c r="L11" s="139"/>
      <c r="M11" s="139"/>
      <c r="N11" s="139"/>
      <c r="O11" s="139"/>
      <c r="P11" s="140"/>
      <c r="Q11" s="141" t="s">
        <v>25</v>
      </c>
      <c r="R11" s="142"/>
      <c r="S11" s="142"/>
      <c r="T11" s="142"/>
      <c r="U11" s="143"/>
    </row>
    <row r="12" spans="1:21" s="25" customFormat="1" ht="26.25" customHeight="1" x14ac:dyDescent="0.1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3" customFormat="1" ht="12" x14ac:dyDescent="0.15">
      <c r="A13" s="122" t="s">
        <v>219</v>
      </c>
      <c r="B13" s="122" t="str">
        <f>A13</f>
        <v>EmployeeKey</v>
      </c>
      <c r="C13" s="122" t="s">
        <v>32</v>
      </c>
      <c r="D13" s="123">
        <v>-1</v>
      </c>
      <c r="E13" s="122" t="s">
        <v>7</v>
      </c>
      <c r="F13" s="122" t="s">
        <v>118</v>
      </c>
      <c r="G13" s="122"/>
      <c r="H13" s="122"/>
      <c r="I13" s="122"/>
      <c r="J13" s="124" t="s">
        <v>18</v>
      </c>
      <c r="K13" s="125"/>
      <c r="L13" s="125"/>
      <c r="M13" s="125" t="s">
        <v>20</v>
      </c>
      <c r="N13" s="125"/>
      <c r="O13" s="125" t="s">
        <v>19</v>
      </c>
      <c r="P13" s="126"/>
      <c r="Q13" s="127" t="s">
        <v>36</v>
      </c>
      <c r="R13" s="128"/>
      <c r="S13" s="125"/>
      <c r="T13" s="128"/>
      <c r="U13" s="129"/>
    </row>
    <row r="14" spans="1:21" s="6" customFormat="1" ht="12" x14ac:dyDescent="0.15">
      <c r="A14" s="22" t="s">
        <v>220</v>
      </c>
      <c r="B14" s="22" t="str">
        <f t="shared" ref="B14:B15" si="0">A14</f>
        <v>EmployeeID</v>
      </c>
      <c r="C14" s="22" t="s">
        <v>91</v>
      </c>
      <c r="D14" s="6">
        <v>-1</v>
      </c>
      <c r="E14" s="22" t="s">
        <v>277</v>
      </c>
      <c r="F14" s="22" t="s">
        <v>118</v>
      </c>
      <c r="G14" s="22"/>
      <c r="H14" s="5"/>
      <c r="I14" s="5"/>
      <c r="J14" s="36" t="s">
        <v>18</v>
      </c>
      <c r="K14" s="31"/>
      <c r="L14" s="31"/>
      <c r="M14" s="37" t="s">
        <v>151</v>
      </c>
      <c r="N14" s="31"/>
      <c r="O14" s="31" t="s">
        <v>19</v>
      </c>
      <c r="P14" s="32"/>
      <c r="Q14" s="38" t="s">
        <v>214</v>
      </c>
      <c r="R14" s="39" t="s">
        <v>215</v>
      </c>
      <c r="S14" s="37" t="s">
        <v>224</v>
      </c>
      <c r="T14" s="39" t="s">
        <v>220</v>
      </c>
      <c r="U14" s="40" t="s">
        <v>18</v>
      </c>
    </row>
    <row r="15" spans="1:21" s="6" customFormat="1" ht="24" x14ac:dyDescent="0.15">
      <c r="A15" s="22" t="s">
        <v>221</v>
      </c>
      <c r="B15" s="22" t="str">
        <f t="shared" si="0"/>
        <v>EmployeeName</v>
      </c>
      <c r="C15" s="22" t="s">
        <v>268</v>
      </c>
      <c r="D15" s="24"/>
      <c r="E15" s="22" t="s">
        <v>278</v>
      </c>
      <c r="F15" s="5">
        <v>2</v>
      </c>
      <c r="G15" s="22"/>
      <c r="H15" s="5"/>
      <c r="I15" s="5"/>
      <c r="J15" s="36" t="s">
        <v>107</v>
      </c>
      <c r="K15" s="31">
        <v>50</v>
      </c>
      <c r="L15" s="31"/>
      <c r="M15" s="31"/>
      <c r="N15" s="31"/>
      <c r="O15" s="31" t="s">
        <v>19</v>
      </c>
      <c r="P15" s="32"/>
      <c r="Q15" s="38" t="s">
        <v>214</v>
      </c>
      <c r="R15" s="39" t="s">
        <v>215</v>
      </c>
      <c r="S15" s="37" t="s">
        <v>224</v>
      </c>
      <c r="T15" s="39" t="s">
        <v>222</v>
      </c>
      <c r="U15" s="40" t="s">
        <v>107</v>
      </c>
    </row>
    <row r="16" spans="1:21" s="6" customFormat="1" ht="12" x14ac:dyDescent="0.15">
      <c r="A16" s="22" t="s">
        <v>223</v>
      </c>
      <c r="B16" s="22" t="str">
        <f>A16</f>
        <v>EmployeeTitle</v>
      </c>
      <c r="C16" s="22" t="s">
        <v>269</v>
      </c>
      <c r="D16" s="24"/>
      <c r="E16" s="22" t="s">
        <v>279</v>
      </c>
      <c r="F16" s="5">
        <v>2</v>
      </c>
      <c r="G16" s="22"/>
      <c r="H16" s="5"/>
      <c r="I16" s="5"/>
      <c r="J16" s="36" t="s">
        <v>107</v>
      </c>
      <c r="K16" s="31">
        <v>50</v>
      </c>
      <c r="L16" s="31"/>
      <c r="M16" s="31"/>
      <c r="N16" s="31"/>
      <c r="O16" s="31" t="s">
        <v>19</v>
      </c>
      <c r="P16" s="32"/>
      <c r="Q16" s="38" t="s">
        <v>214</v>
      </c>
      <c r="R16" s="39" t="s">
        <v>215</v>
      </c>
      <c r="S16" s="37" t="s">
        <v>224</v>
      </c>
      <c r="T16" s="39" t="s">
        <v>225</v>
      </c>
      <c r="U16" s="40" t="s">
        <v>107</v>
      </c>
    </row>
    <row r="17" spans="1:21" s="6" customFormat="1" ht="12" x14ac:dyDescent="0.15">
      <c r="A17" s="22" t="s">
        <v>261</v>
      </c>
      <c r="B17" s="22" t="str">
        <f>A17</f>
        <v>EmployeeDateofBirth</v>
      </c>
      <c r="C17" s="22" t="s">
        <v>270</v>
      </c>
      <c r="D17" s="24"/>
      <c r="E17" s="172">
        <v>13757</v>
      </c>
      <c r="F17" s="22" t="s">
        <v>118</v>
      </c>
      <c r="G17" s="22"/>
      <c r="H17" s="5"/>
      <c r="I17" s="5"/>
      <c r="J17" s="36" t="s">
        <v>154</v>
      </c>
      <c r="K17" s="31"/>
      <c r="L17" s="31"/>
      <c r="M17" s="31"/>
      <c r="N17" s="31"/>
      <c r="O17" s="37" t="s">
        <v>19</v>
      </c>
      <c r="P17" s="32"/>
      <c r="Q17" s="38" t="s">
        <v>214</v>
      </c>
      <c r="R17" s="39" t="s">
        <v>215</v>
      </c>
      <c r="S17" s="37" t="s">
        <v>224</v>
      </c>
      <c r="T17" s="39" t="s">
        <v>283</v>
      </c>
      <c r="U17" s="40" t="s">
        <v>154</v>
      </c>
    </row>
    <row r="18" spans="1:21" s="6" customFormat="1" ht="12" x14ac:dyDescent="0.15">
      <c r="A18" s="22" t="s">
        <v>262</v>
      </c>
      <c r="B18" s="22" t="str">
        <f>A18</f>
        <v>EmployeeHireDate</v>
      </c>
      <c r="C18" s="22" t="s">
        <v>271</v>
      </c>
      <c r="D18" s="24"/>
      <c r="E18" s="172">
        <v>34092</v>
      </c>
      <c r="F18" s="22" t="s">
        <v>118</v>
      </c>
      <c r="G18" s="22"/>
      <c r="H18" s="5"/>
      <c r="I18" s="5"/>
      <c r="J18" s="36" t="s">
        <v>154</v>
      </c>
      <c r="K18" s="31"/>
      <c r="L18" s="31"/>
      <c r="M18" s="31"/>
      <c r="N18" s="31"/>
      <c r="O18" s="37" t="s">
        <v>19</v>
      </c>
      <c r="P18" s="32"/>
      <c r="Q18" s="38" t="s">
        <v>214</v>
      </c>
      <c r="R18" s="39" t="s">
        <v>215</v>
      </c>
      <c r="S18" s="37" t="s">
        <v>224</v>
      </c>
      <c r="T18" s="39" t="s">
        <v>284</v>
      </c>
      <c r="U18" s="40" t="s">
        <v>154</v>
      </c>
    </row>
    <row r="19" spans="1:21" s="6" customFormat="1" ht="12" x14ac:dyDescent="0.15">
      <c r="A19" s="22" t="s">
        <v>263</v>
      </c>
      <c r="B19" s="22" t="str">
        <f>A19</f>
        <v>EmployeeCountry</v>
      </c>
      <c r="C19" s="22" t="s">
        <v>272</v>
      </c>
      <c r="D19" s="24"/>
      <c r="E19" s="22" t="s">
        <v>252</v>
      </c>
      <c r="F19" s="22">
        <v>2</v>
      </c>
      <c r="G19" s="22"/>
      <c r="H19" s="5"/>
      <c r="I19" s="5"/>
      <c r="J19" s="36" t="s">
        <v>107</v>
      </c>
      <c r="K19" s="31">
        <v>50</v>
      </c>
      <c r="L19" s="31"/>
      <c r="M19" s="31"/>
      <c r="N19" s="31"/>
      <c r="O19" s="37" t="s">
        <v>19</v>
      </c>
      <c r="P19" s="32"/>
      <c r="Q19" s="38" t="s">
        <v>214</v>
      </c>
      <c r="R19" s="39" t="s">
        <v>215</v>
      </c>
      <c r="S19" s="37" t="s">
        <v>224</v>
      </c>
      <c r="T19" s="39" t="s">
        <v>210</v>
      </c>
      <c r="U19" s="40" t="s">
        <v>107</v>
      </c>
    </row>
    <row r="20" spans="1:21" s="6" customFormat="1" ht="12" x14ac:dyDescent="0.15">
      <c r="A20" s="22" t="s">
        <v>265</v>
      </c>
      <c r="B20" s="22" t="str">
        <f>A20</f>
        <v>EmployeeRegion</v>
      </c>
      <c r="C20" s="22" t="s">
        <v>273</v>
      </c>
      <c r="D20" s="24" t="s">
        <v>6</v>
      </c>
      <c r="E20" s="22" t="s">
        <v>281</v>
      </c>
      <c r="F20" s="5">
        <v>2</v>
      </c>
      <c r="G20" s="22"/>
      <c r="H20" s="5"/>
      <c r="I20" s="5"/>
      <c r="J20" s="36" t="s">
        <v>107</v>
      </c>
      <c r="K20" s="31">
        <v>50</v>
      </c>
      <c r="L20" s="31"/>
      <c r="M20" s="31"/>
      <c r="N20" s="31"/>
      <c r="O20" s="37" t="s">
        <v>50</v>
      </c>
      <c r="P20" s="156" t="s">
        <v>6</v>
      </c>
      <c r="Q20" s="38" t="s">
        <v>214</v>
      </c>
      <c r="R20" s="39" t="s">
        <v>215</v>
      </c>
      <c r="S20" s="37" t="s">
        <v>224</v>
      </c>
      <c r="T20" s="39" t="s">
        <v>211</v>
      </c>
      <c r="U20" s="40" t="s">
        <v>107</v>
      </c>
    </row>
    <row r="21" spans="1:21" ht="14" x14ac:dyDescent="0.15">
      <c r="A21" s="22" t="s">
        <v>264</v>
      </c>
      <c r="B21" s="22" t="str">
        <f>A21</f>
        <v>EmployeeCity</v>
      </c>
      <c r="C21" s="22" t="s">
        <v>274</v>
      </c>
      <c r="E21" s="157" t="s">
        <v>280</v>
      </c>
      <c r="F21" s="7">
        <v>2</v>
      </c>
      <c r="J21" s="36" t="s">
        <v>107</v>
      </c>
      <c r="K21" s="31">
        <v>50</v>
      </c>
      <c r="L21" s="31"/>
      <c r="M21" s="31"/>
      <c r="N21" s="31"/>
      <c r="O21" s="37" t="s">
        <v>19</v>
      </c>
      <c r="P21" s="32"/>
      <c r="Q21" s="38" t="s">
        <v>214</v>
      </c>
      <c r="R21" s="39" t="s">
        <v>215</v>
      </c>
      <c r="S21" s="37" t="s">
        <v>224</v>
      </c>
      <c r="T21" s="39" t="s">
        <v>212</v>
      </c>
      <c r="U21" s="40" t="s">
        <v>107</v>
      </c>
    </row>
    <row r="22" spans="1:21" x14ac:dyDescent="0.15">
      <c r="A22" s="22" t="s">
        <v>266</v>
      </c>
      <c r="B22" s="22" t="str">
        <f>A22</f>
        <v>EmployeePostalCode</v>
      </c>
      <c r="C22" s="19" t="s">
        <v>275</v>
      </c>
      <c r="E22" s="7">
        <v>98556</v>
      </c>
      <c r="F22" s="7">
        <v>2</v>
      </c>
      <c r="J22" s="36" t="s">
        <v>18</v>
      </c>
      <c r="K22" s="31">
        <v>5</v>
      </c>
      <c r="L22" s="31"/>
      <c r="M22" s="31"/>
      <c r="N22" s="31"/>
      <c r="O22" s="37" t="s">
        <v>19</v>
      </c>
      <c r="P22" s="32"/>
      <c r="Q22" s="38" t="s">
        <v>214</v>
      </c>
      <c r="R22" s="39" t="s">
        <v>215</v>
      </c>
      <c r="S22" s="37" t="s">
        <v>224</v>
      </c>
      <c r="T22" s="39" t="s">
        <v>213</v>
      </c>
      <c r="U22" s="40" t="s">
        <v>18</v>
      </c>
    </row>
    <row r="23" spans="1:21" ht="14" x14ac:dyDescent="0.15">
      <c r="A23" s="22" t="s">
        <v>267</v>
      </c>
      <c r="B23" s="22" t="str">
        <f>A23</f>
        <v>EmployeePhoneNumber</v>
      </c>
      <c r="C23" s="19" t="s">
        <v>276</v>
      </c>
      <c r="E23" s="157" t="s">
        <v>282</v>
      </c>
      <c r="F23" s="7">
        <v>1</v>
      </c>
      <c r="J23" s="36" t="s">
        <v>18</v>
      </c>
      <c r="K23" s="31">
        <v>10</v>
      </c>
      <c r="L23" s="31"/>
      <c r="M23" s="31"/>
      <c r="N23" s="31"/>
      <c r="O23" s="37" t="s">
        <v>19</v>
      </c>
      <c r="P23" s="32"/>
      <c r="Q23" s="38" t="s">
        <v>214</v>
      </c>
      <c r="R23" s="39" t="s">
        <v>215</v>
      </c>
      <c r="S23" s="37" t="s">
        <v>224</v>
      </c>
      <c r="T23" s="39" t="s">
        <v>285</v>
      </c>
      <c r="U23" s="40" t="s">
        <v>18</v>
      </c>
    </row>
    <row r="24" spans="1:21" s="80" customFormat="1" ht="12" x14ac:dyDescent="0.15">
      <c r="A24" s="80" t="s">
        <v>58</v>
      </c>
      <c r="B24" s="80" t="s">
        <v>81</v>
      </c>
      <c r="C24" s="81" t="s">
        <v>38</v>
      </c>
      <c r="D24" s="80" t="s">
        <v>50</v>
      </c>
      <c r="E24" s="81" t="s">
        <v>42</v>
      </c>
      <c r="F24" s="81" t="s">
        <v>35</v>
      </c>
      <c r="G24" s="81" t="s">
        <v>115</v>
      </c>
      <c r="H24" s="81" t="s">
        <v>144</v>
      </c>
      <c r="I24" s="81"/>
      <c r="J24" s="82" t="s">
        <v>108</v>
      </c>
      <c r="K24" s="83">
        <v>1</v>
      </c>
      <c r="L24" s="83"/>
      <c r="M24" s="83"/>
      <c r="N24" s="83"/>
      <c r="O24" s="83" t="s">
        <v>19</v>
      </c>
      <c r="P24" s="84"/>
      <c r="Q24" s="85" t="s">
        <v>36</v>
      </c>
      <c r="R24" s="86"/>
      <c r="S24" s="83"/>
      <c r="T24" s="83"/>
      <c r="U24" s="40"/>
    </row>
    <row r="25" spans="1:21" s="80" customFormat="1" ht="12" x14ac:dyDescent="0.15">
      <c r="A25" s="81" t="s">
        <v>59</v>
      </c>
      <c r="B25" s="81" t="s">
        <v>82</v>
      </c>
      <c r="C25" s="81" t="s">
        <v>39</v>
      </c>
      <c r="D25" s="87">
        <v>1</v>
      </c>
      <c r="E25" s="88">
        <v>40567</v>
      </c>
      <c r="F25" s="81" t="s">
        <v>35</v>
      </c>
      <c r="G25" s="81" t="s">
        <v>115</v>
      </c>
      <c r="H25" s="81" t="s">
        <v>144</v>
      </c>
      <c r="I25" s="81"/>
      <c r="J25" s="82" t="s">
        <v>37</v>
      </c>
      <c r="K25" s="83"/>
      <c r="L25" s="83"/>
      <c r="M25" s="83"/>
      <c r="N25" s="83"/>
      <c r="O25" s="83" t="s">
        <v>19</v>
      </c>
      <c r="P25" s="84"/>
      <c r="Q25" s="85" t="s">
        <v>36</v>
      </c>
      <c r="R25" s="86"/>
      <c r="S25" s="83"/>
      <c r="T25" s="83"/>
      <c r="U25" s="40"/>
    </row>
    <row r="26" spans="1:21" s="80" customFormat="1" ht="24" x14ac:dyDescent="0.15">
      <c r="A26" s="81" t="s">
        <v>60</v>
      </c>
      <c r="B26" s="81" t="s">
        <v>83</v>
      </c>
      <c r="C26" s="81" t="s">
        <v>40</v>
      </c>
      <c r="D26" s="87">
        <v>2958465</v>
      </c>
      <c r="E26" s="81" t="s">
        <v>43</v>
      </c>
      <c r="F26" s="81" t="s">
        <v>35</v>
      </c>
      <c r="G26" s="81" t="s">
        <v>115</v>
      </c>
      <c r="H26" s="81" t="s">
        <v>144</v>
      </c>
      <c r="I26" s="81"/>
      <c r="J26" s="82" t="s">
        <v>37</v>
      </c>
      <c r="K26" s="83"/>
      <c r="L26" s="83"/>
      <c r="M26" s="83"/>
      <c r="N26" s="83"/>
      <c r="O26" s="83" t="s">
        <v>19</v>
      </c>
      <c r="P26" s="89">
        <v>2958465</v>
      </c>
      <c r="Q26" s="85" t="s">
        <v>36</v>
      </c>
      <c r="R26" s="86"/>
      <c r="S26" s="83"/>
      <c r="T26" s="83"/>
      <c r="U26" s="84"/>
    </row>
    <row r="27" spans="1:21" s="80" customFormat="1" ht="12" x14ac:dyDescent="0.15">
      <c r="A27" s="81" t="s">
        <v>61</v>
      </c>
      <c r="B27" s="81" t="s">
        <v>84</v>
      </c>
      <c r="C27" s="81" t="s">
        <v>41</v>
      </c>
      <c r="D27" s="80" t="s">
        <v>6</v>
      </c>
      <c r="E27" s="81"/>
      <c r="F27" s="81" t="s">
        <v>35</v>
      </c>
      <c r="G27" s="81" t="s">
        <v>115</v>
      </c>
      <c r="H27" s="81" t="s">
        <v>144</v>
      </c>
      <c r="I27" s="81"/>
      <c r="J27" s="82" t="s">
        <v>107</v>
      </c>
      <c r="K27" s="83">
        <v>200</v>
      </c>
      <c r="L27" s="83"/>
      <c r="M27" s="83"/>
      <c r="N27" s="83"/>
      <c r="O27" s="83" t="s">
        <v>19</v>
      </c>
      <c r="P27" s="84"/>
      <c r="Q27" s="85" t="s">
        <v>36</v>
      </c>
      <c r="R27" s="83"/>
      <c r="S27" s="83"/>
      <c r="T27" s="90"/>
      <c r="U27" s="84"/>
    </row>
  </sheetData>
  <dataConsolidate/>
  <mergeCells count="2">
    <mergeCell ref="J11:P11"/>
    <mergeCell ref="Q11:U11"/>
  </mergeCells>
  <dataValidations count="2">
    <dataValidation type="list" allowBlank="1" showInputMessage="1" showErrorMessage="1" promptTitle="Table Type" prompt="Dimension, Fact, or Audit" sqref="B2" xr:uid="{CDEDE937-6241-419B-9FCA-BFD3795409FB}">
      <formula1>"Dimension, Fact, Audit"</formula1>
    </dataValidation>
    <dataValidation type="list" allowBlank="1" showInputMessage="1" showErrorMessage="1" sqref="B9" xr:uid="{AF354AB8-F950-4B45-AED9-1D106EAB781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BD588-CF8C-47D9-A75E-475128ED59B3}">
  <sheetPr codeName="Sheet29">
    <tabColor theme="7" tint="0.79998168889431442"/>
    <pageSetUpPr fitToPage="1"/>
  </sheetPr>
  <dimension ref="A1:U26"/>
  <sheetViews>
    <sheetView zoomScale="160" zoomScaleNormal="160" zoomScaleSheetLayoutView="100" workbookViewId="0">
      <pane xSplit="2" ySplit="12" topLeftCell="C18" activePane="bottomRight" state="frozenSplit"/>
      <selection pane="topRight" activeCell="C1" sqref="C1"/>
      <selection pane="bottomLeft" activeCell="A13" sqref="A13"/>
      <selection pane="bottomRight" activeCell="U16" sqref="R16:U17"/>
    </sheetView>
  </sheetViews>
  <sheetFormatPr baseColWidth="10" defaultColWidth="9.1640625" defaultRowHeight="13" x14ac:dyDescent="0.15"/>
  <cols>
    <col min="1" max="1" width="20.5" style="9" customWidth="1"/>
    <col min="2" max="2" width="18.5" style="9" customWidth="1"/>
    <col min="3" max="3" width="34.83203125" style="9" bestFit="1"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6.3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6" t="s">
        <v>14</v>
      </c>
      <c r="B1" s="8" t="s">
        <v>226</v>
      </c>
      <c r="C1" s="11"/>
      <c r="E1" s="4"/>
      <c r="F1" s="4"/>
      <c r="G1" s="11"/>
    </row>
    <row r="2" spans="1:21" s="11" customFormat="1" x14ac:dyDescent="0.15">
      <c r="A2" s="27" t="s">
        <v>12</v>
      </c>
      <c r="B2" s="23" t="s">
        <v>13</v>
      </c>
      <c r="E2" s="2"/>
      <c r="F2" s="2"/>
    </row>
    <row r="3" spans="1:21" x14ac:dyDescent="0.15">
      <c r="A3" s="28" t="s">
        <v>71</v>
      </c>
      <c r="B3" s="19" t="s">
        <v>227</v>
      </c>
    </row>
    <row r="4" spans="1:21" x14ac:dyDescent="0.15">
      <c r="A4" s="28" t="s">
        <v>96</v>
      </c>
      <c r="B4" s="9" t="s">
        <v>146</v>
      </c>
    </row>
    <row r="5" spans="1:21" s="11" customFormat="1" x14ac:dyDescent="0.15">
      <c r="A5" s="27" t="s">
        <v>97</v>
      </c>
      <c r="B5" s="19" t="s">
        <v>128</v>
      </c>
      <c r="E5" s="2"/>
      <c r="F5" s="2"/>
      <c r="H5" s="9"/>
    </row>
    <row r="6" spans="1:21" s="11" customFormat="1" x14ac:dyDescent="0.15">
      <c r="A6" s="27" t="s">
        <v>112</v>
      </c>
      <c r="B6" s="19" t="s">
        <v>129</v>
      </c>
      <c r="E6" s="2"/>
      <c r="F6" s="2"/>
    </row>
    <row r="7" spans="1:21" s="11" customFormat="1" x14ac:dyDescent="0.15">
      <c r="A7" s="29" t="s">
        <v>113</v>
      </c>
      <c r="B7" s="9"/>
      <c r="E7" s="2"/>
      <c r="F7" s="2"/>
    </row>
    <row r="8" spans="1:21" s="11" customFormat="1" x14ac:dyDescent="0.15">
      <c r="A8" s="29" t="s">
        <v>21</v>
      </c>
      <c r="B8" s="19"/>
      <c r="E8" s="2"/>
      <c r="F8" s="2"/>
    </row>
    <row r="9" spans="1:21" s="11" customFormat="1" x14ac:dyDescent="0.15">
      <c r="A9" s="27" t="s">
        <v>98</v>
      </c>
      <c r="B9" s="42" t="s">
        <v>50</v>
      </c>
      <c r="C9" s="20"/>
      <c r="E9" s="2"/>
      <c r="F9" s="2"/>
      <c r="G9" s="20"/>
    </row>
    <row r="11" spans="1:21" s="25" customFormat="1" ht="13.5" customHeight="1" x14ac:dyDescent="0.15">
      <c r="A11" s="55"/>
      <c r="B11" s="55"/>
      <c r="C11" s="55"/>
      <c r="D11" s="55"/>
      <c r="E11" s="56"/>
      <c r="F11" s="56"/>
      <c r="G11" s="55"/>
      <c r="H11" s="57"/>
      <c r="I11" s="58"/>
      <c r="J11" s="138" t="s">
        <v>24</v>
      </c>
      <c r="K11" s="139"/>
      <c r="L11" s="139"/>
      <c r="M11" s="139"/>
      <c r="N11" s="139"/>
      <c r="O11" s="139"/>
      <c r="P11" s="140"/>
      <c r="Q11" s="141" t="s">
        <v>25</v>
      </c>
      <c r="R11" s="142"/>
      <c r="S11" s="142"/>
      <c r="T11" s="142"/>
      <c r="U11" s="143"/>
    </row>
    <row r="12" spans="1:21" s="25" customFormat="1" ht="26.25" customHeight="1" x14ac:dyDescent="0.1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3" customFormat="1" ht="12" x14ac:dyDescent="0.15">
      <c r="A13" s="122" t="str">
        <f>B3&amp;"Key"</f>
        <v>ProductKey</v>
      </c>
      <c r="B13" s="122" t="s">
        <v>229</v>
      </c>
      <c r="C13" s="122" t="s">
        <v>32</v>
      </c>
      <c r="D13" s="123">
        <v>-1</v>
      </c>
      <c r="E13" s="122" t="s">
        <v>7</v>
      </c>
      <c r="F13" s="122" t="s">
        <v>118</v>
      </c>
      <c r="G13" s="122"/>
      <c r="H13" s="122"/>
      <c r="I13" s="122"/>
      <c r="J13" s="124" t="s">
        <v>18</v>
      </c>
      <c r="K13" s="125"/>
      <c r="L13" s="125"/>
      <c r="M13" s="125" t="s">
        <v>20</v>
      </c>
      <c r="N13" s="125"/>
      <c r="O13" s="125" t="s">
        <v>19</v>
      </c>
      <c r="P13" s="126"/>
      <c r="Q13" s="127" t="s">
        <v>36</v>
      </c>
      <c r="R13" s="128"/>
      <c r="S13" s="125"/>
      <c r="T13" s="128"/>
      <c r="U13" s="129"/>
    </row>
    <row r="14" spans="1:21" s="6" customFormat="1" ht="12" x14ac:dyDescent="0.15">
      <c r="A14" s="22" t="s">
        <v>230</v>
      </c>
      <c r="B14" s="22" t="str">
        <f>A14</f>
        <v>ProductID</v>
      </c>
      <c r="C14" s="22" t="s">
        <v>91</v>
      </c>
      <c r="D14" s="6">
        <v>-1</v>
      </c>
      <c r="E14" s="22" t="s">
        <v>7</v>
      </c>
      <c r="F14" s="22" t="s">
        <v>118</v>
      </c>
      <c r="G14" s="22"/>
      <c r="H14" s="5"/>
      <c r="I14" s="5"/>
      <c r="J14" s="36" t="s">
        <v>18</v>
      </c>
      <c r="K14" s="31"/>
      <c r="L14" s="31"/>
      <c r="M14" s="37" t="s">
        <v>151</v>
      </c>
      <c r="N14" s="31"/>
      <c r="O14" s="31" t="s">
        <v>19</v>
      </c>
      <c r="P14" s="32"/>
      <c r="Q14" s="38" t="s">
        <v>214</v>
      </c>
      <c r="R14" s="39" t="s">
        <v>215</v>
      </c>
      <c r="S14" s="37" t="s">
        <v>294</v>
      </c>
      <c r="T14" s="39" t="s">
        <v>230</v>
      </c>
      <c r="U14" s="40" t="s">
        <v>18</v>
      </c>
    </row>
    <row r="15" spans="1:21" s="6" customFormat="1" ht="12" x14ac:dyDescent="0.15">
      <c r="A15" s="22" t="s">
        <v>286</v>
      </c>
      <c r="B15" s="22" t="s">
        <v>286</v>
      </c>
      <c r="C15" s="22" t="s">
        <v>300</v>
      </c>
      <c r="D15" s="24"/>
      <c r="E15" s="22" t="s">
        <v>306</v>
      </c>
      <c r="F15" s="5">
        <v>1</v>
      </c>
      <c r="G15" s="22"/>
      <c r="H15" s="5"/>
      <c r="I15" s="5"/>
      <c r="J15" s="36" t="s">
        <v>107</v>
      </c>
      <c r="K15" s="31">
        <v>50</v>
      </c>
      <c r="L15" s="31"/>
      <c r="M15" s="31"/>
      <c r="N15" s="31"/>
      <c r="O15" s="31" t="s">
        <v>19</v>
      </c>
      <c r="P15" s="32"/>
      <c r="Q15" s="38" t="s">
        <v>214</v>
      </c>
      <c r="R15" s="39" t="s">
        <v>215</v>
      </c>
      <c r="S15" s="37" t="s">
        <v>294</v>
      </c>
      <c r="T15" s="39" t="s">
        <v>286</v>
      </c>
      <c r="U15" s="40" t="s">
        <v>107</v>
      </c>
    </row>
    <row r="16" spans="1:21" s="6" customFormat="1" ht="12" x14ac:dyDescent="0.15">
      <c r="A16" s="22" t="s">
        <v>287</v>
      </c>
      <c r="B16" s="22" t="s">
        <v>287</v>
      </c>
      <c r="C16" s="22" t="s">
        <v>301</v>
      </c>
      <c r="D16" s="24">
        <v>-1</v>
      </c>
      <c r="E16" s="22" t="s">
        <v>7</v>
      </c>
      <c r="F16" s="5">
        <v>2</v>
      </c>
      <c r="G16" s="22"/>
      <c r="H16" s="5"/>
      <c r="I16" s="5"/>
      <c r="J16" s="36" t="s">
        <v>18</v>
      </c>
      <c r="K16" s="31">
        <v>50</v>
      </c>
      <c r="L16" s="31"/>
      <c r="M16" s="37" t="s">
        <v>44</v>
      </c>
      <c r="N16" s="37" t="s">
        <v>308</v>
      </c>
      <c r="O16" s="31" t="s">
        <v>19</v>
      </c>
      <c r="P16" s="32"/>
      <c r="Q16" s="38" t="s">
        <v>36</v>
      </c>
      <c r="R16" s="39"/>
      <c r="S16" s="37"/>
      <c r="T16" s="39"/>
      <c r="U16" s="40"/>
    </row>
    <row r="17" spans="1:21" s="6" customFormat="1" ht="12" x14ac:dyDescent="0.15">
      <c r="A17" s="22" t="s">
        <v>288</v>
      </c>
      <c r="B17" s="22" t="s">
        <v>288</v>
      </c>
      <c r="C17" s="22" t="s">
        <v>301</v>
      </c>
      <c r="D17" s="24">
        <v>-1</v>
      </c>
      <c r="E17" s="22" t="s">
        <v>7</v>
      </c>
      <c r="F17" s="5">
        <v>2</v>
      </c>
      <c r="G17" s="22"/>
      <c r="H17" s="5"/>
      <c r="I17" s="5"/>
      <c r="J17" s="36" t="s">
        <v>18</v>
      </c>
      <c r="K17" s="31">
        <v>50</v>
      </c>
      <c r="L17" s="31"/>
      <c r="M17" s="37" t="s">
        <v>44</v>
      </c>
      <c r="N17" s="37" t="s">
        <v>309</v>
      </c>
      <c r="O17" s="31" t="s">
        <v>19</v>
      </c>
      <c r="P17" s="32"/>
      <c r="Q17" s="38" t="s">
        <v>36</v>
      </c>
      <c r="R17" s="39"/>
      <c r="S17" s="37"/>
      <c r="T17" s="39"/>
      <c r="U17" s="40"/>
    </row>
    <row r="18" spans="1:21" s="6" customFormat="1" ht="12" x14ac:dyDescent="0.15">
      <c r="A18" s="22" t="s">
        <v>289</v>
      </c>
      <c r="B18" s="22" t="s">
        <v>289</v>
      </c>
      <c r="C18" s="22" t="s">
        <v>302</v>
      </c>
      <c r="D18" s="24"/>
      <c r="E18" s="173">
        <v>4</v>
      </c>
      <c r="F18" s="5">
        <v>2</v>
      </c>
      <c r="G18" s="22"/>
      <c r="H18" s="5"/>
      <c r="I18" s="5"/>
      <c r="J18" s="36" t="s">
        <v>18</v>
      </c>
      <c r="K18" s="31">
        <v>50</v>
      </c>
      <c r="L18" s="31"/>
      <c r="M18" s="31"/>
      <c r="N18" s="31"/>
      <c r="O18" s="37" t="s">
        <v>19</v>
      </c>
      <c r="P18" s="32"/>
      <c r="Q18" s="38" t="s">
        <v>214</v>
      </c>
      <c r="R18" s="39" t="s">
        <v>215</v>
      </c>
      <c r="S18" s="37" t="s">
        <v>294</v>
      </c>
      <c r="T18" s="39" t="s">
        <v>295</v>
      </c>
      <c r="U18" s="40" t="s">
        <v>18</v>
      </c>
    </row>
    <row r="19" spans="1:21" s="6" customFormat="1" ht="12" x14ac:dyDescent="0.15">
      <c r="A19" s="22" t="s">
        <v>290</v>
      </c>
      <c r="B19" s="22" t="s">
        <v>290</v>
      </c>
      <c r="C19" s="22" t="s">
        <v>303</v>
      </c>
      <c r="D19" s="24">
        <v>0</v>
      </c>
      <c r="E19" s="22" t="s">
        <v>7</v>
      </c>
      <c r="F19" s="5">
        <v>1</v>
      </c>
      <c r="G19" s="22"/>
      <c r="H19" s="5"/>
      <c r="I19" s="5"/>
      <c r="J19" s="36" t="s">
        <v>18</v>
      </c>
      <c r="K19" s="31">
        <v>50</v>
      </c>
      <c r="L19" s="31"/>
      <c r="M19" s="31"/>
      <c r="N19" s="31"/>
      <c r="O19" s="37" t="s">
        <v>19</v>
      </c>
      <c r="P19" s="32"/>
      <c r="Q19" s="38" t="s">
        <v>214</v>
      </c>
      <c r="R19" s="39" t="s">
        <v>215</v>
      </c>
      <c r="S19" s="37" t="s">
        <v>294</v>
      </c>
      <c r="T19" s="39" t="s">
        <v>296</v>
      </c>
      <c r="U19" s="40" t="s">
        <v>18</v>
      </c>
    </row>
    <row r="20" spans="1:21" s="6" customFormat="1" ht="12" x14ac:dyDescent="0.15">
      <c r="A20" s="22" t="s">
        <v>291</v>
      </c>
      <c r="B20" s="22" t="s">
        <v>291</v>
      </c>
      <c r="C20" s="22" t="s">
        <v>304</v>
      </c>
      <c r="D20" s="24">
        <v>0</v>
      </c>
      <c r="E20" s="22" t="s">
        <v>7</v>
      </c>
      <c r="F20" s="5">
        <v>2</v>
      </c>
      <c r="G20" s="22"/>
      <c r="H20" s="5"/>
      <c r="I20" s="5"/>
      <c r="J20" s="36" t="s">
        <v>18</v>
      </c>
      <c r="K20" s="31">
        <v>50</v>
      </c>
      <c r="L20" s="31"/>
      <c r="M20" s="31"/>
      <c r="N20" s="31"/>
      <c r="O20" s="37" t="s">
        <v>19</v>
      </c>
      <c r="P20" s="32"/>
      <c r="Q20" s="38" t="s">
        <v>214</v>
      </c>
      <c r="R20" s="39" t="s">
        <v>215</v>
      </c>
      <c r="S20" s="37" t="s">
        <v>294</v>
      </c>
      <c r="T20" s="39" t="s">
        <v>297</v>
      </c>
      <c r="U20" s="40" t="s">
        <v>18</v>
      </c>
    </row>
    <row r="21" spans="1:21" s="6" customFormat="1" ht="12" x14ac:dyDescent="0.15">
      <c r="A21" s="22" t="s">
        <v>292</v>
      </c>
      <c r="B21" s="22" t="s">
        <v>292</v>
      </c>
      <c r="C21" s="22"/>
      <c r="D21" s="24">
        <v>0</v>
      </c>
      <c r="E21" s="22" t="s">
        <v>7</v>
      </c>
      <c r="F21" s="5">
        <v>2</v>
      </c>
      <c r="G21" s="22"/>
      <c r="H21" s="5"/>
      <c r="I21" s="5"/>
      <c r="J21" s="36" t="s">
        <v>18</v>
      </c>
      <c r="K21" s="31">
        <v>50</v>
      </c>
      <c r="L21" s="31"/>
      <c r="M21" s="31"/>
      <c r="N21" s="31"/>
      <c r="O21" s="37" t="s">
        <v>19</v>
      </c>
      <c r="P21" s="32"/>
      <c r="Q21" s="38" t="s">
        <v>214</v>
      </c>
      <c r="R21" s="39" t="s">
        <v>215</v>
      </c>
      <c r="S21" s="37" t="s">
        <v>294</v>
      </c>
      <c r="T21" s="39" t="s">
        <v>298</v>
      </c>
      <c r="U21" s="40" t="s">
        <v>18</v>
      </c>
    </row>
    <row r="22" spans="1:21" s="6" customFormat="1" ht="12" x14ac:dyDescent="0.15">
      <c r="A22" s="22" t="s">
        <v>293</v>
      </c>
      <c r="B22" s="22" t="s">
        <v>293</v>
      </c>
      <c r="C22" s="22" t="s">
        <v>305</v>
      </c>
      <c r="D22" s="24"/>
      <c r="E22" s="22" t="s">
        <v>307</v>
      </c>
      <c r="F22" s="5">
        <v>2</v>
      </c>
      <c r="G22" s="22"/>
      <c r="H22" s="5"/>
      <c r="I22" s="5"/>
      <c r="J22" s="36" t="s">
        <v>18</v>
      </c>
      <c r="K22" s="31">
        <v>50</v>
      </c>
      <c r="L22" s="31"/>
      <c r="M22" s="31"/>
      <c r="N22" s="31"/>
      <c r="O22" s="37" t="s">
        <v>19</v>
      </c>
      <c r="P22" s="32"/>
      <c r="Q22" s="38" t="s">
        <v>214</v>
      </c>
      <c r="R22" s="39" t="s">
        <v>215</v>
      </c>
      <c r="S22" s="37" t="s">
        <v>294</v>
      </c>
      <c r="T22" s="39" t="s">
        <v>299</v>
      </c>
      <c r="U22" s="40" t="s">
        <v>18</v>
      </c>
    </row>
    <row r="23" spans="1:21" s="80" customFormat="1" ht="12" x14ac:dyDescent="0.15">
      <c r="A23" s="80" t="s">
        <v>58</v>
      </c>
      <c r="B23" s="80" t="s">
        <v>81</v>
      </c>
      <c r="C23" s="81" t="s">
        <v>38</v>
      </c>
      <c r="D23" s="80" t="s">
        <v>50</v>
      </c>
      <c r="E23" s="81" t="s">
        <v>42</v>
      </c>
      <c r="F23" s="81" t="s">
        <v>35</v>
      </c>
      <c r="G23" s="81" t="s">
        <v>115</v>
      </c>
      <c r="H23" s="81" t="s">
        <v>144</v>
      </c>
      <c r="I23" s="81"/>
      <c r="J23" s="82" t="s">
        <v>108</v>
      </c>
      <c r="K23" s="83">
        <v>1</v>
      </c>
      <c r="L23" s="83"/>
      <c r="M23" s="83"/>
      <c r="N23" s="83"/>
      <c r="O23" s="83" t="s">
        <v>19</v>
      </c>
      <c r="P23" s="84"/>
      <c r="Q23" s="85" t="s">
        <v>36</v>
      </c>
      <c r="R23" s="86"/>
      <c r="S23" s="83"/>
      <c r="T23" s="83"/>
      <c r="U23" s="84"/>
    </row>
    <row r="24" spans="1:21" s="80" customFormat="1" ht="12" x14ac:dyDescent="0.15">
      <c r="A24" s="81" t="s">
        <v>59</v>
      </c>
      <c r="B24" s="81" t="s">
        <v>82</v>
      </c>
      <c r="C24" s="81" t="s">
        <v>39</v>
      </c>
      <c r="D24" s="87">
        <v>1</v>
      </c>
      <c r="E24" s="88">
        <v>40567</v>
      </c>
      <c r="F24" s="81" t="s">
        <v>35</v>
      </c>
      <c r="G24" s="81" t="s">
        <v>115</v>
      </c>
      <c r="H24" s="81" t="s">
        <v>144</v>
      </c>
      <c r="I24" s="81"/>
      <c r="J24" s="82" t="s">
        <v>37</v>
      </c>
      <c r="K24" s="83"/>
      <c r="L24" s="83"/>
      <c r="M24" s="83"/>
      <c r="N24" s="83"/>
      <c r="O24" s="83" t="s">
        <v>19</v>
      </c>
      <c r="P24" s="84"/>
      <c r="Q24" s="85" t="s">
        <v>36</v>
      </c>
      <c r="R24" s="86"/>
      <c r="S24" s="83"/>
      <c r="T24" s="83"/>
      <c r="U24" s="84"/>
    </row>
    <row r="25" spans="1:21" s="80" customFormat="1" ht="24" x14ac:dyDescent="0.15">
      <c r="A25" s="81" t="s">
        <v>60</v>
      </c>
      <c r="B25" s="81" t="s">
        <v>83</v>
      </c>
      <c r="C25" s="81" t="s">
        <v>40</v>
      </c>
      <c r="D25" s="87">
        <v>2958465</v>
      </c>
      <c r="E25" s="81" t="s">
        <v>43</v>
      </c>
      <c r="F25" s="81" t="s">
        <v>35</v>
      </c>
      <c r="G25" s="81" t="s">
        <v>115</v>
      </c>
      <c r="H25" s="81" t="s">
        <v>144</v>
      </c>
      <c r="I25" s="81"/>
      <c r="J25" s="82" t="s">
        <v>37</v>
      </c>
      <c r="K25" s="83"/>
      <c r="L25" s="83"/>
      <c r="M25" s="83"/>
      <c r="N25" s="83"/>
      <c r="O25" s="83" t="s">
        <v>19</v>
      </c>
      <c r="P25" s="89">
        <v>2958465</v>
      </c>
      <c r="Q25" s="85" t="s">
        <v>36</v>
      </c>
      <c r="R25" s="86"/>
      <c r="S25" s="83"/>
      <c r="T25" s="83"/>
      <c r="U25" s="84"/>
    </row>
    <row r="26" spans="1:21" s="80" customFormat="1" ht="12" x14ac:dyDescent="0.15">
      <c r="A26" s="81" t="s">
        <v>61</v>
      </c>
      <c r="B26" s="81" t="s">
        <v>84</v>
      </c>
      <c r="C26" s="81" t="s">
        <v>41</v>
      </c>
      <c r="D26" s="80" t="s">
        <v>6</v>
      </c>
      <c r="E26" s="81"/>
      <c r="F26" s="81" t="s">
        <v>35</v>
      </c>
      <c r="G26" s="81" t="s">
        <v>115</v>
      </c>
      <c r="H26" s="81" t="s">
        <v>144</v>
      </c>
      <c r="I26" s="81"/>
      <c r="J26" s="82" t="s">
        <v>107</v>
      </c>
      <c r="K26" s="83">
        <v>200</v>
      </c>
      <c r="L26" s="83"/>
      <c r="M26" s="83"/>
      <c r="N26" s="83"/>
      <c r="O26" s="83" t="s">
        <v>19</v>
      </c>
      <c r="P26" s="84"/>
      <c r="Q26" s="85" t="s">
        <v>36</v>
      </c>
      <c r="R26" s="83"/>
      <c r="S26" s="83"/>
      <c r="T26" s="90"/>
      <c r="U26" s="84"/>
    </row>
  </sheetData>
  <dataConsolidate/>
  <mergeCells count="2">
    <mergeCell ref="J11:P11"/>
    <mergeCell ref="Q11:U11"/>
  </mergeCells>
  <dataValidations count="2">
    <dataValidation type="list" allowBlank="1" showInputMessage="1" showErrorMessage="1" promptTitle="Table Type" prompt="Dimension, Fact, or Audit" sqref="B2" xr:uid="{51F9019C-5C1C-457F-AF02-9CF64AD34EAC}">
      <formula1>"Dimension, Fact, Audit"</formula1>
    </dataValidation>
    <dataValidation type="list" allowBlank="1" showInputMessage="1" showErrorMessage="1" sqref="B9" xr:uid="{7CD7A9C4-4C4F-4C93-8FE8-B32E9F2DBBA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368F6-A6B2-41CD-8345-728D083D381B}">
  <sheetPr codeName="Sheet30">
    <tabColor theme="9" tint="0.79998168889431442"/>
    <pageSetUpPr fitToPage="1"/>
  </sheetPr>
  <dimension ref="A1:U39"/>
  <sheetViews>
    <sheetView topLeftCell="J3" zoomScale="175" zoomScaleNormal="175" zoomScaleSheetLayoutView="100" workbookViewId="0">
      <selection activeCell="A19" sqref="A19:XFD19"/>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5.5"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7.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3" t="s">
        <v>14</v>
      </c>
      <c r="B1" s="8" t="s">
        <v>231</v>
      </c>
      <c r="C1" s="11"/>
      <c r="E1" s="4"/>
      <c r="F1" s="4"/>
      <c r="G1" s="11"/>
    </row>
    <row r="2" spans="1:21" s="11" customFormat="1" x14ac:dyDescent="0.15">
      <c r="A2" s="44" t="s">
        <v>12</v>
      </c>
      <c r="B2" s="23" t="s">
        <v>23</v>
      </c>
      <c r="E2" s="2"/>
      <c r="F2" s="2"/>
    </row>
    <row r="3" spans="1:21" x14ac:dyDescent="0.15">
      <c r="A3" s="45" t="s">
        <v>71</v>
      </c>
      <c r="B3" s="19" t="s">
        <v>232</v>
      </c>
    </row>
    <row r="4" spans="1:21" x14ac:dyDescent="0.15">
      <c r="A4" s="45" t="s">
        <v>96</v>
      </c>
      <c r="B4" s="9" t="s">
        <v>146</v>
      </c>
    </row>
    <row r="5" spans="1:21" s="11" customFormat="1" x14ac:dyDescent="0.15">
      <c r="A5" s="44" t="s">
        <v>97</v>
      </c>
      <c r="B5" s="19" t="s">
        <v>128</v>
      </c>
      <c r="E5" s="2"/>
      <c r="F5" s="2"/>
      <c r="H5" s="9"/>
    </row>
    <row r="6" spans="1:21" s="11" customFormat="1" x14ac:dyDescent="0.15">
      <c r="A6" s="44" t="s">
        <v>112</v>
      </c>
      <c r="B6" s="19" t="s">
        <v>129</v>
      </c>
      <c r="E6" s="2"/>
      <c r="F6" s="2"/>
    </row>
    <row r="7" spans="1:21" s="11" customFormat="1" x14ac:dyDescent="0.15">
      <c r="A7" s="46" t="s">
        <v>113</v>
      </c>
      <c r="B7" s="9"/>
      <c r="E7" s="2"/>
      <c r="F7" s="2"/>
    </row>
    <row r="8" spans="1:21" s="11" customFormat="1" x14ac:dyDescent="0.15">
      <c r="A8" s="46" t="s">
        <v>21</v>
      </c>
      <c r="B8" s="19"/>
      <c r="E8" s="2"/>
      <c r="F8" s="2"/>
    </row>
    <row r="9" spans="1:21" s="11" customFormat="1" x14ac:dyDescent="0.15">
      <c r="A9" s="44" t="s">
        <v>98</v>
      </c>
      <c r="B9" s="42" t="s">
        <v>50</v>
      </c>
      <c r="C9" s="20"/>
      <c r="E9" s="2"/>
      <c r="F9" s="2"/>
      <c r="G9" s="20"/>
    </row>
    <row r="11" spans="1:21" s="25" customFormat="1" ht="13.5" customHeight="1" x14ac:dyDescent="0.15">
      <c r="A11" s="47"/>
      <c r="B11" s="47"/>
      <c r="C11" s="47"/>
      <c r="D11" s="47"/>
      <c r="E11" s="48"/>
      <c r="F11" s="48"/>
      <c r="G11" s="47"/>
      <c r="H11" s="49"/>
      <c r="I11" s="50"/>
      <c r="J11" s="144" t="s">
        <v>24</v>
      </c>
      <c r="K11" s="145"/>
      <c r="L11" s="145"/>
      <c r="M11" s="145"/>
      <c r="N11" s="145"/>
      <c r="O11" s="145"/>
      <c r="P11" s="146"/>
      <c r="Q11" s="147" t="s">
        <v>25</v>
      </c>
      <c r="R11" s="148"/>
      <c r="S11" s="148"/>
      <c r="T11" s="148"/>
      <c r="U11" s="149"/>
    </row>
    <row r="12" spans="1:21" s="25" customFormat="1" ht="23.25" customHeight="1" x14ac:dyDescent="0.1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2" x14ac:dyDescent="0.15">
      <c r="A13" s="22" t="s">
        <v>228</v>
      </c>
      <c r="B13" s="5" t="str">
        <f>A13</f>
        <v>ProductKey</v>
      </c>
      <c r="C13" s="22" t="s">
        <v>233</v>
      </c>
      <c r="E13" s="22" t="s">
        <v>330</v>
      </c>
      <c r="F13" s="5"/>
      <c r="G13" s="22" t="s">
        <v>118</v>
      </c>
      <c r="H13" s="22" t="s">
        <v>234</v>
      </c>
      <c r="I13" s="5"/>
      <c r="J13" s="36" t="s">
        <v>18</v>
      </c>
      <c r="K13" s="31">
        <v>10</v>
      </c>
      <c r="L13" s="31"/>
      <c r="M13" s="31" t="s">
        <v>44</v>
      </c>
      <c r="N13" s="37" t="s">
        <v>235</v>
      </c>
      <c r="O13" s="31" t="s">
        <v>19</v>
      </c>
      <c r="P13" s="32" t="s">
        <v>33</v>
      </c>
      <c r="Q13" s="38" t="s">
        <v>36</v>
      </c>
      <c r="R13" s="39"/>
      <c r="S13" s="37"/>
      <c r="T13" s="34"/>
      <c r="U13" s="35"/>
    </row>
    <row r="14" spans="1:21" s="6" customFormat="1" ht="12" x14ac:dyDescent="0.15">
      <c r="A14" s="22" t="s">
        <v>198</v>
      </c>
      <c r="B14" s="22" t="str">
        <f>A14</f>
        <v>CustomerKey</v>
      </c>
      <c r="C14" s="22" t="s">
        <v>236</v>
      </c>
      <c r="E14" s="22" t="s">
        <v>330</v>
      </c>
      <c r="F14" s="5"/>
      <c r="G14" s="22" t="s">
        <v>118</v>
      </c>
      <c r="H14" s="22" t="s">
        <v>237</v>
      </c>
      <c r="I14" s="5"/>
      <c r="J14" s="36" t="s">
        <v>18</v>
      </c>
      <c r="K14" s="31">
        <v>10</v>
      </c>
      <c r="L14" s="31"/>
      <c r="M14" s="31" t="s">
        <v>44</v>
      </c>
      <c r="N14" s="37" t="s">
        <v>238</v>
      </c>
      <c r="O14" s="31" t="s">
        <v>19</v>
      </c>
      <c r="P14" s="32" t="s">
        <v>33</v>
      </c>
      <c r="Q14" s="38" t="s">
        <v>36</v>
      </c>
      <c r="R14" s="39"/>
      <c r="S14" s="37"/>
      <c r="T14" s="39"/>
      <c r="U14" s="40"/>
    </row>
    <row r="15" spans="1:21" s="6" customFormat="1" ht="12" x14ac:dyDescent="0.15">
      <c r="A15" s="22" t="s">
        <v>219</v>
      </c>
      <c r="B15" s="22" t="s">
        <v>219</v>
      </c>
      <c r="C15" s="22" t="s">
        <v>312</v>
      </c>
      <c r="E15" s="22" t="s">
        <v>330</v>
      </c>
      <c r="F15" s="5"/>
      <c r="G15" s="22" t="s">
        <v>118</v>
      </c>
      <c r="H15" s="22" t="s">
        <v>313</v>
      </c>
      <c r="I15" s="5"/>
      <c r="J15" s="36" t="s">
        <v>18</v>
      </c>
      <c r="K15" s="31">
        <v>10</v>
      </c>
      <c r="L15" s="31"/>
      <c r="M15" s="37" t="s">
        <v>44</v>
      </c>
      <c r="N15" s="31" t="s">
        <v>314</v>
      </c>
      <c r="O15" s="37" t="s">
        <v>50</v>
      </c>
      <c r="P15" s="156" t="s">
        <v>33</v>
      </c>
      <c r="Q15" s="38" t="s">
        <v>36</v>
      </c>
      <c r="R15" s="39"/>
      <c r="S15" s="37"/>
      <c r="T15" s="41"/>
      <c r="U15" s="32"/>
    </row>
    <row r="16" spans="1:21" s="6" customFormat="1" ht="12" x14ac:dyDescent="0.15">
      <c r="A16" s="22" t="s">
        <v>315</v>
      </c>
      <c r="B16" s="22" t="s">
        <v>311</v>
      </c>
      <c r="C16" s="22" t="s">
        <v>317</v>
      </c>
      <c r="E16" s="172">
        <v>35037</v>
      </c>
      <c r="F16" s="5"/>
      <c r="G16" s="22" t="s">
        <v>118</v>
      </c>
      <c r="H16" s="22" t="s">
        <v>328</v>
      </c>
      <c r="I16" s="5"/>
      <c r="J16" s="36" t="s">
        <v>154</v>
      </c>
      <c r="K16" s="31"/>
      <c r="L16" s="31"/>
      <c r="M16" s="37" t="s">
        <v>44</v>
      </c>
      <c r="N16" s="37" t="s">
        <v>332</v>
      </c>
      <c r="O16" s="37" t="s">
        <v>50</v>
      </c>
      <c r="P16" s="156" t="s">
        <v>33</v>
      </c>
      <c r="Q16" s="38" t="s">
        <v>36</v>
      </c>
      <c r="R16" s="39"/>
      <c r="S16" s="31"/>
      <c r="T16" s="41"/>
      <c r="U16" s="32"/>
    </row>
    <row r="17" spans="1:21" s="6" customFormat="1" ht="12" x14ac:dyDescent="0.15">
      <c r="A17" s="22" t="s">
        <v>316</v>
      </c>
      <c r="B17" s="22" t="s">
        <v>310</v>
      </c>
      <c r="C17" s="22" t="s">
        <v>317</v>
      </c>
      <c r="E17" s="172">
        <v>41255</v>
      </c>
      <c r="F17" s="5"/>
      <c r="G17" s="22" t="s">
        <v>118</v>
      </c>
      <c r="H17" s="22" t="s">
        <v>328</v>
      </c>
      <c r="I17" s="5"/>
      <c r="J17" s="36" t="s">
        <v>154</v>
      </c>
      <c r="K17" s="31"/>
      <c r="L17" s="31"/>
      <c r="M17" s="37" t="s">
        <v>44</v>
      </c>
      <c r="N17" s="37" t="s">
        <v>332</v>
      </c>
      <c r="O17" s="37" t="s">
        <v>50</v>
      </c>
      <c r="P17" s="156" t="s">
        <v>33</v>
      </c>
      <c r="Q17" s="38" t="s">
        <v>36</v>
      </c>
      <c r="R17" s="39"/>
      <c r="S17" s="31"/>
      <c r="T17" s="41"/>
      <c r="U17" s="32"/>
    </row>
    <row r="18" spans="1:21" s="6" customFormat="1" ht="12" x14ac:dyDescent="0.15">
      <c r="A18" s="22" t="s">
        <v>322</v>
      </c>
      <c r="B18" s="22" t="s">
        <v>322</v>
      </c>
      <c r="C18" s="22" t="s">
        <v>323</v>
      </c>
      <c r="E18" s="22" t="s">
        <v>330</v>
      </c>
      <c r="F18" s="5"/>
      <c r="G18" s="22" t="s">
        <v>331</v>
      </c>
      <c r="H18" s="22"/>
      <c r="I18" s="5"/>
      <c r="J18" s="37" t="s">
        <v>18</v>
      </c>
      <c r="K18" s="31">
        <v>10</v>
      </c>
      <c r="L18" s="31"/>
      <c r="M18" s="37" t="s">
        <v>151</v>
      </c>
      <c r="N18" s="31"/>
      <c r="O18" s="37" t="s">
        <v>19</v>
      </c>
      <c r="P18" s="31"/>
      <c r="Q18" s="38" t="s">
        <v>214</v>
      </c>
      <c r="R18" s="39" t="s">
        <v>215</v>
      </c>
      <c r="S18" s="175" t="s">
        <v>333</v>
      </c>
      <c r="T18" s="176" t="s">
        <v>322</v>
      </c>
      <c r="U18" s="32" t="s">
        <v>18</v>
      </c>
    </row>
    <row r="19" spans="1:21" x14ac:dyDescent="0.15">
      <c r="A19" s="22" t="s">
        <v>318</v>
      </c>
      <c r="B19" s="22" t="s">
        <v>318</v>
      </c>
      <c r="C19" s="22" t="s">
        <v>324</v>
      </c>
      <c r="D19" s="22"/>
      <c r="E19" s="22">
        <v>4</v>
      </c>
      <c r="F19" s="22"/>
      <c r="G19" s="22" t="s">
        <v>329</v>
      </c>
      <c r="H19" s="22"/>
      <c r="I19" s="22"/>
      <c r="J19" s="37" t="s">
        <v>18</v>
      </c>
      <c r="K19" s="31">
        <v>10</v>
      </c>
      <c r="L19" s="31"/>
      <c r="M19" s="31"/>
      <c r="N19" s="31"/>
      <c r="O19" s="37" t="s">
        <v>19</v>
      </c>
      <c r="P19" s="31"/>
      <c r="Q19" s="38" t="s">
        <v>214</v>
      </c>
      <c r="R19" s="39" t="s">
        <v>215</v>
      </c>
      <c r="S19" s="175" t="s">
        <v>333</v>
      </c>
      <c r="T19" s="176" t="s">
        <v>318</v>
      </c>
      <c r="U19" s="32" t="s">
        <v>102</v>
      </c>
    </row>
    <row r="20" spans="1:21" x14ac:dyDescent="0.15">
      <c r="A20" s="22" t="s">
        <v>319</v>
      </c>
      <c r="B20" s="22" t="s">
        <v>319</v>
      </c>
      <c r="C20" s="22" t="s">
        <v>325</v>
      </c>
      <c r="D20" s="22"/>
      <c r="E20" s="174">
        <v>10</v>
      </c>
      <c r="F20" s="22"/>
      <c r="G20" s="22" t="s">
        <v>329</v>
      </c>
      <c r="J20" s="37" t="s">
        <v>18</v>
      </c>
      <c r="K20" s="31">
        <v>10</v>
      </c>
      <c r="L20" s="31">
        <v>2</v>
      </c>
      <c r="M20" s="31"/>
      <c r="N20" s="31"/>
      <c r="O20" s="37" t="s">
        <v>19</v>
      </c>
      <c r="P20" s="31"/>
      <c r="Q20" s="38" t="s">
        <v>214</v>
      </c>
      <c r="R20" s="39" t="s">
        <v>215</v>
      </c>
      <c r="S20" s="175" t="s">
        <v>333</v>
      </c>
      <c r="T20" s="176" t="s">
        <v>295</v>
      </c>
      <c r="U20" s="32" t="s">
        <v>102</v>
      </c>
    </row>
    <row r="21" spans="1:21" x14ac:dyDescent="0.15">
      <c r="A21" s="22" t="s">
        <v>320</v>
      </c>
      <c r="B21" s="22" t="s">
        <v>320</v>
      </c>
      <c r="C21" s="22" t="s">
        <v>326</v>
      </c>
      <c r="D21" s="22"/>
      <c r="E21" s="174">
        <v>19</v>
      </c>
      <c r="F21" s="22"/>
      <c r="G21" s="22" t="s">
        <v>329</v>
      </c>
      <c r="J21" s="37" t="s">
        <v>18</v>
      </c>
      <c r="K21" s="31">
        <v>10</v>
      </c>
      <c r="L21" s="31">
        <v>2</v>
      </c>
      <c r="M21" s="31"/>
      <c r="N21" s="31"/>
      <c r="O21" s="37" t="s">
        <v>19</v>
      </c>
      <c r="P21" s="31"/>
      <c r="Q21" s="38" t="s">
        <v>214</v>
      </c>
      <c r="R21" s="39" t="s">
        <v>215</v>
      </c>
      <c r="S21" s="175" t="s">
        <v>333</v>
      </c>
      <c r="T21" s="176" t="s">
        <v>334</v>
      </c>
      <c r="U21" s="32" t="s">
        <v>102</v>
      </c>
    </row>
    <row r="22" spans="1:21" ht="24" x14ac:dyDescent="0.15">
      <c r="A22" s="22" t="s">
        <v>321</v>
      </c>
      <c r="B22" s="22" t="s">
        <v>321</v>
      </c>
      <c r="C22" s="22" t="s">
        <v>327</v>
      </c>
      <c r="D22" s="22"/>
      <c r="E22" s="174">
        <v>20</v>
      </c>
      <c r="F22" s="22"/>
      <c r="G22" s="22" t="s">
        <v>329</v>
      </c>
      <c r="J22" s="37" t="s">
        <v>18</v>
      </c>
      <c r="K22" s="31">
        <v>10</v>
      </c>
      <c r="L22" s="31">
        <v>2</v>
      </c>
      <c r="M22" s="31"/>
      <c r="N22" s="31"/>
      <c r="O22" s="37" t="s">
        <v>19</v>
      </c>
      <c r="P22" s="31"/>
      <c r="Q22" s="38" t="s">
        <v>214</v>
      </c>
      <c r="R22" s="39" t="s">
        <v>215</v>
      </c>
      <c r="S22" s="175" t="s">
        <v>333</v>
      </c>
      <c r="T22" s="176" t="s">
        <v>335</v>
      </c>
      <c r="U22" s="32" t="s">
        <v>102</v>
      </c>
    </row>
    <row r="39" spans="12:12" x14ac:dyDescent="0.15">
      <c r="L39" s="19" t="s">
        <v>114</v>
      </c>
    </row>
  </sheetData>
  <dataConsolidate/>
  <mergeCells count="2">
    <mergeCell ref="J11:P11"/>
    <mergeCell ref="Q11:U11"/>
  </mergeCells>
  <dataValidations count="2">
    <dataValidation type="list" allowBlank="1" showInputMessage="1" showErrorMessage="1" promptTitle="Table Type" prompt="Dimension, Fact, or Audit" sqref="B2" xr:uid="{695B4D60-F978-40ED-B7F7-CDE6B332F167}">
      <formula1>"Dimension, Fact, Audit"</formula1>
    </dataValidation>
    <dataValidation type="list" allowBlank="1" showInputMessage="1" showErrorMessage="1" sqref="B9" xr:uid="{267F1AD7-E3A0-4844-894B-F995A714CD8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AE314-02EA-A64F-867F-EAB870C60ECE}">
  <sheetPr codeName="Sheet31">
    <tabColor theme="9" tint="0.79998168889431442"/>
    <pageSetUpPr fitToPage="1"/>
  </sheetPr>
  <dimension ref="A1:U3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20" sqref="I20"/>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3" t="s">
        <v>14</v>
      </c>
      <c r="B1" s="177" t="s">
        <v>336</v>
      </c>
      <c r="C1" s="11"/>
      <c r="E1" s="4"/>
      <c r="F1" s="4"/>
      <c r="G1" s="11"/>
    </row>
    <row r="2" spans="1:21" s="11" customFormat="1" x14ac:dyDescent="0.15">
      <c r="A2" s="44" t="s">
        <v>12</v>
      </c>
      <c r="B2" s="178" t="s">
        <v>23</v>
      </c>
      <c r="E2" s="2"/>
      <c r="F2" s="2"/>
    </row>
    <row r="3" spans="1:21" x14ac:dyDescent="0.15">
      <c r="A3" s="45" t="s">
        <v>71</v>
      </c>
      <c r="B3" s="178" t="s">
        <v>337</v>
      </c>
    </row>
    <row r="4" spans="1:21" x14ac:dyDescent="0.15">
      <c r="A4" s="45" t="s">
        <v>96</v>
      </c>
      <c r="B4" s="178" t="s">
        <v>146</v>
      </c>
    </row>
    <row r="5" spans="1:21" s="11" customFormat="1" x14ac:dyDescent="0.15">
      <c r="A5" s="44" t="s">
        <v>97</v>
      </c>
      <c r="B5" s="178" t="s">
        <v>338</v>
      </c>
      <c r="E5" s="2"/>
      <c r="F5" s="2"/>
      <c r="H5" s="9"/>
    </row>
    <row r="6" spans="1:21" s="11" customFormat="1" x14ac:dyDescent="0.15">
      <c r="A6" s="44" t="s">
        <v>112</v>
      </c>
      <c r="B6" s="19"/>
      <c r="E6" s="2"/>
      <c r="F6" s="2"/>
    </row>
    <row r="7" spans="1:21" s="11" customFormat="1" x14ac:dyDescent="0.15">
      <c r="A7" s="46" t="s">
        <v>113</v>
      </c>
      <c r="B7" s="9"/>
      <c r="E7" s="2"/>
      <c r="F7" s="2"/>
    </row>
    <row r="8" spans="1:21" s="11" customFormat="1" x14ac:dyDescent="0.15">
      <c r="A8" s="46" t="s">
        <v>21</v>
      </c>
      <c r="B8" s="19" t="s">
        <v>339</v>
      </c>
      <c r="E8" s="2"/>
      <c r="F8" s="2"/>
    </row>
    <row r="9" spans="1:21" s="11" customFormat="1" x14ac:dyDescent="0.15">
      <c r="A9" s="44" t="s">
        <v>98</v>
      </c>
      <c r="B9" s="42" t="s">
        <v>19</v>
      </c>
      <c r="C9" s="20"/>
      <c r="E9" s="2"/>
      <c r="F9" s="2"/>
      <c r="G9" s="20"/>
    </row>
    <row r="11" spans="1:21" s="25" customFormat="1" ht="13.5" customHeight="1" x14ac:dyDescent="0.15">
      <c r="A11" s="47"/>
      <c r="B11" s="47"/>
      <c r="C11" s="47"/>
      <c r="D11" s="47"/>
      <c r="E11" s="48"/>
      <c r="F11" s="48"/>
      <c r="G11" s="47"/>
      <c r="H11" s="49"/>
      <c r="I11" s="50"/>
      <c r="J11" s="144" t="s">
        <v>24</v>
      </c>
      <c r="K11" s="145"/>
      <c r="L11" s="145"/>
      <c r="M11" s="145"/>
      <c r="N11" s="145"/>
      <c r="O11" s="145"/>
      <c r="P11" s="146"/>
      <c r="Q11" s="147" t="s">
        <v>25</v>
      </c>
      <c r="R11" s="148"/>
      <c r="S11" s="148"/>
      <c r="T11" s="148"/>
      <c r="U11" s="149"/>
    </row>
    <row r="12" spans="1:21" s="25" customFormat="1" ht="23.25" customHeight="1" x14ac:dyDescent="0.1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4" x14ac:dyDescent="0.15">
      <c r="A13" s="22" t="s">
        <v>341</v>
      </c>
      <c r="B13" s="22" t="s">
        <v>341</v>
      </c>
      <c r="C13" s="22" t="s">
        <v>51</v>
      </c>
      <c r="E13" s="5" t="s">
        <v>11</v>
      </c>
      <c r="F13" s="5"/>
      <c r="G13" s="22" t="s">
        <v>118</v>
      </c>
      <c r="H13" s="5" t="s">
        <v>103</v>
      </c>
      <c r="I13" s="5"/>
      <c r="J13" s="30" t="s">
        <v>8</v>
      </c>
      <c r="K13" s="31"/>
      <c r="L13" s="31"/>
      <c r="M13" s="31" t="s">
        <v>44</v>
      </c>
      <c r="N13" s="37" t="s">
        <v>134</v>
      </c>
      <c r="O13" s="31" t="s">
        <v>19</v>
      </c>
      <c r="P13" s="32" t="s">
        <v>33</v>
      </c>
      <c r="Q13" s="38" t="s">
        <v>36</v>
      </c>
      <c r="R13" s="34"/>
      <c r="S13" s="31"/>
      <c r="T13" s="34"/>
      <c r="U13" s="35"/>
    </row>
    <row r="14" spans="1:21" s="6" customFormat="1" ht="12" x14ac:dyDescent="0.15">
      <c r="A14" s="22" t="s">
        <v>316</v>
      </c>
      <c r="B14" s="22" t="s">
        <v>310</v>
      </c>
      <c r="C14" s="22" t="s">
        <v>317</v>
      </c>
      <c r="E14" s="172">
        <v>41255</v>
      </c>
      <c r="F14" s="5"/>
      <c r="G14" s="22" t="s">
        <v>118</v>
      </c>
      <c r="H14" s="22" t="s">
        <v>328</v>
      </c>
      <c r="I14" s="5"/>
      <c r="J14" s="36" t="s">
        <v>154</v>
      </c>
      <c r="K14" s="31"/>
      <c r="L14" s="31"/>
      <c r="M14" s="37" t="s">
        <v>44</v>
      </c>
      <c r="N14" s="37" t="s">
        <v>332</v>
      </c>
      <c r="O14" s="37" t="s">
        <v>50</v>
      </c>
      <c r="P14" s="156" t="s">
        <v>33</v>
      </c>
      <c r="Q14" s="38" t="s">
        <v>36</v>
      </c>
      <c r="R14" s="39"/>
      <c r="S14" s="31"/>
      <c r="T14" s="41"/>
      <c r="U14" s="32"/>
    </row>
    <row r="15" spans="1:21" s="6" customFormat="1" ht="12" x14ac:dyDescent="0.15">
      <c r="A15" s="22" t="s">
        <v>342</v>
      </c>
      <c r="B15" s="22" t="s">
        <v>342</v>
      </c>
      <c r="C15" s="22" t="s">
        <v>317</v>
      </c>
      <c r="D15" s="24"/>
      <c r="E15" s="172">
        <v>41255</v>
      </c>
      <c r="F15" s="5"/>
      <c r="G15" s="22" t="s">
        <v>118</v>
      </c>
      <c r="H15" s="22" t="s">
        <v>328</v>
      </c>
      <c r="I15" s="5"/>
      <c r="J15" s="36" t="s">
        <v>18</v>
      </c>
      <c r="K15" s="31"/>
      <c r="L15" s="31"/>
      <c r="M15" s="37" t="s">
        <v>44</v>
      </c>
      <c r="N15" s="37" t="s">
        <v>332</v>
      </c>
      <c r="O15" s="37" t="s">
        <v>50</v>
      </c>
      <c r="P15" s="32"/>
      <c r="Q15" s="38" t="s">
        <v>36</v>
      </c>
      <c r="R15" s="34"/>
      <c r="S15" s="31"/>
      <c r="T15" s="31"/>
      <c r="U15" s="32"/>
    </row>
    <row r="16" spans="1:21" x14ac:dyDescent="0.15">
      <c r="A16" s="22" t="s">
        <v>318</v>
      </c>
      <c r="B16" s="22" t="s">
        <v>318</v>
      </c>
      <c r="C16" s="22" t="s">
        <v>324</v>
      </c>
      <c r="D16" s="22"/>
      <c r="E16" s="22">
        <v>4</v>
      </c>
      <c r="F16" s="22"/>
      <c r="G16" s="22" t="s">
        <v>344</v>
      </c>
      <c r="H16" s="22"/>
      <c r="I16" s="22"/>
      <c r="J16" s="36" t="s">
        <v>18</v>
      </c>
      <c r="K16" s="31"/>
      <c r="L16" s="31"/>
      <c r="M16" s="31"/>
      <c r="N16" s="31"/>
      <c r="O16" s="37" t="s">
        <v>19</v>
      </c>
      <c r="P16" s="31"/>
      <c r="Q16" s="38" t="s">
        <v>214</v>
      </c>
      <c r="R16" s="39" t="s">
        <v>215</v>
      </c>
      <c r="S16" s="175" t="s">
        <v>333</v>
      </c>
      <c r="T16" s="176" t="s">
        <v>318</v>
      </c>
      <c r="U16" s="32" t="s">
        <v>102</v>
      </c>
    </row>
    <row r="17" spans="1:21" s="6" customFormat="1" ht="24" x14ac:dyDescent="0.15">
      <c r="A17" s="22" t="s">
        <v>340</v>
      </c>
      <c r="B17" s="22" t="s">
        <v>340</v>
      </c>
      <c r="C17" s="22" t="s">
        <v>343</v>
      </c>
      <c r="E17" s="22" t="s">
        <v>11</v>
      </c>
      <c r="F17" s="5"/>
      <c r="G17" s="22" t="s">
        <v>344</v>
      </c>
      <c r="H17" s="5"/>
      <c r="I17" s="5"/>
      <c r="J17" s="36" t="s">
        <v>18</v>
      </c>
      <c r="K17" s="31"/>
      <c r="L17" s="31"/>
      <c r="M17" s="31"/>
      <c r="N17" s="31"/>
      <c r="O17" s="37" t="s">
        <v>50</v>
      </c>
      <c r="P17" s="32">
        <v>0</v>
      </c>
      <c r="Q17" s="38" t="s">
        <v>214</v>
      </c>
      <c r="R17" s="39" t="s">
        <v>215</v>
      </c>
      <c r="S17" s="37" t="s">
        <v>333</v>
      </c>
      <c r="T17" s="176" t="s">
        <v>345</v>
      </c>
      <c r="U17" s="156" t="s">
        <v>18</v>
      </c>
    </row>
    <row r="38" spans="12:12" x14ac:dyDescent="0.15">
      <c r="L38" s="19" t="s">
        <v>114</v>
      </c>
    </row>
  </sheetData>
  <dataConsolidate/>
  <mergeCells count="2">
    <mergeCell ref="J11:P11"/>
    <mergeCell ref="Q11:U11"/>
  </mergeCells>
  <dataValidations count="2">
    <dataValidation type="list" allowBlank="1" showInputMessage="1" showErrorMessage="1" promptTitle="Table Type" prompt="Dimension, Fact, or Audit" sqref="B2" xr:uid="{14851D51-85D9-1342-84A9-96EFAE51AF4E}">
      <formula1>"Dimension, Fact, Audit"</formula1>
    </dataValidation>
    <dataValidation type="list" allowBlank="1" showInputMessage="1" showErrorMessage="1" sqref="B9" xr:uid="{334D9E7F-0E8C-AA47-BE5A-4F38DB34C7A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Blank Fact</vt:lpstr>
      <vt:lpstr>DimCustomer</vt:lpstr>
      <vt:lpstr>DimDate</vt:lpstr>
      <vt:lpstr>DimEmployee</vt:lpstr>
      <vt:lpstr>DimProduct</vt:lpstr>
      <vt:lpstr>FactSales</vt:lpstr>
      <vt:lpstr>FactOrderFulfillment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2022-03-29T06:30:27Z</dcterms:modified>
</cp:coreProperties>
</file>